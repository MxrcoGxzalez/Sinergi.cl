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</sheets>
  <definedNames/>
  <calcPr/>
  <extLst>
    <ext uri="GoogleSheetsCustomDataVersion2">
      <go:sheetsCustomData xmlns:go="http://customooxmlschemas.google.com/" r:id="rId5" roundtripDataChecksum="oHJsM9Yvix5oRnQRks2cJCVl4mqaAiRkIu9ROv0mk9Y="/>
    </ext>
  </extLst>
</workbook>
</file>

<file path=xl/sharedStrings.xml><?xml version="1.0" encoding="utf-8"?>
<sst xmlns="http://schemas.openxmlformats.org/spreadsheetml/2006/main" count="178" uniqueCount="114">
  <si>
    <t>EDT - Planilla Estructura de Descomposición de Tareas — Plataforma Web Integral Sinergi</t>
  </si>
  <si>
    <t>Proyecto de Título · Duoc UC Sede Melipilla · Semanas 1 a 18 del semestre · Valores en pesos chilenos (CLP)</t>
  </si>
  <si>
    <t>ACTIVIDADES</t>
  </si>
  <si>
    <t>Horas por Actividad o entregable</t>
  </si>
  <si>
    <t>DICCIONARIO EDT</t>
  </si>
  <si>
    <t>Fase Análisis y Planificación</t>
  </si>
  <si>
    <t>Días</t>
  </si>
  <si>
    <t>JP</t>
  </si>
  <si>
    <t>AF</t>
  </si>
  <si>
    <t>PG</t>
  </si>
  <si>
    <t>DBA</t>
  </si>
  <si>
    <t>TS</t>
  </si>
  <si>
    <t>DI</t>
  </si>
  <si>
    <t>Total HH</t>
  </si>
  <si>
    <t>Costo ($)</t>
  </si>
  <si>
    <t>SIGLA</t>
  </si>
  <si>
    <t>ROL</t>
  </si>
  <si>
    <t>NOMBRE</t>
  </si>
  <si>
    <t>COSTO x HORA</t>
  </si>
  <si>
    <t>Kick Off con Sinergi</t>
  </si>
  <si>
    <t>JEFE DE PROYECTO / SCRUM MASTER</t>
  </si>
  <si>
    <t>Marco Gonzalez</t>
  </si>
  <si>
    <t>Levantamiento de requerimientos con Sinergi</t>
  </si>
  <si>
    <t>ANALISTA FUNCIONAL / PRODUCT OWNER</t>
  </si>
  <si>
    <t>Definición del Proyecto y Acta de Constitución</t>
  </si>
  <si>
    <t>PROGRAMADOR BACKEND</t>
  </si>
  <si>
    <t>Bruno Zuñiga</t>
  </si>
  <si>
    <t>Aprobación del Acta (Sinergi)</t>
  </si>
  <si>
    <t>ADMIN. BASE DE DATOS</t>
  </si>
  <si>
    <t>Matriz de Riesgos y Plan de Capacidad y Presupuesto</t>
  </si>
  <si>
    <t>TESTING / QA</t>
  </si>
  <si>
    <t>Documentos Scrum (visión, roles, épicas, historias, product backlog)</t>
  </si>
  <si>
    <t>DISEÑADOR UI/UX Y FRONTEND</t>
  </si>
  <si>
    <t>Simon Benavente</t>
  </si>
  <si>
    <t>Planificación de Sprints y organización del equipo</t>
  </si>
  <si>
    <t>Fase Diseño</t>
  </si>
  <si>
    <t>COSTO POR FASE</t>
  </si>
  <si>
    <t>Especificación de requerimientos (RF / RNF) y casos de uso</t>
  </si>
  <si>
    <t>Diseño de la arquitectura técnica (Django, PostgreSQL, Celery, Docker)</t>
  </si>
  <si>
    <t>Modelo de datos, DER y diccionario de datos</t>
  </si>
  <si>
    <t>Fase de Desarrollo</t>
  </si>
  <si>
    <t>Wireframes UI/UX de los 3 módulos</t>
  </si>
  <si>
    <t>Fase Implementación y Cierre</t>
  </si>
  <si>
    <t>Presentación y aprobación de diseños con Sinergi</t>
  </si>
  <si>
    <t>Total HH por Fase</t>
  </si>
  <si>
    <t>COSTO HH POR ROL</t>
  </si>
  <si>
    <t>Ambiente de Desarrollo</t>
  </si>
  <si>
    <t>Repositorio Git y CI/CD (GitHub Actions)</t>
  </si>
  <si>
    <t>Entorno Docker (web, db, redis, celery)</t>
  </si>
  <si>
    <t>Proyecto base Django + Tailwind</t>
  </si>
  <si>
    <t>Base de Datos</t>
  </si>
  <si>
    <t>Construcción de modelos y migraciones</t>
  </si>
  <si>
    <t>Poblamiento inicial (datos de prueba)</t>
  </si>
  <si>
    <t>TOTAL HH</t>
  </si>
  <si>
    <t>Autenticación y Gestión de Usuarios</t>
  </si>
  <si>
    <t>Inicio y cierre de sesión con redirección por rol</t>
  </si>
  <si>
    <t>COSTO POR COMPONENTE CODIFICACIÓN</t>
  </si>
  <si>
    <t>Gestión de usuarios y roles</t>
  </si>
  <si>
    <t>Bloqueo por intentos fallidos y sesión segura</t>
  </si>
  <si>
    <t>Separación superusuario / admin de la página</t>
  </si>
  <si>
    <t>Gestión de empresas mandantes</t>
  </si>
  <si>
    <t>Solicitudes y Registro de Proyectos</t>
  </si>
  <si>
    <t>Control de Obra y Seguimiento</t>
  </si>
  <si>
    <t>Solicitud de proyecto desde el contacto web (antispam)</t>
  </si>
  <si>
    <t>Documentos de la Obra</t>
  </si>
  <si>
    <t>Solicitud de proyecto desde el portal y revisión del admin</t>
  </si>
  <si>
    <t>Peticiones y Auditoría</t>
  </si>
  <si>
    <t>Registro y edición de proyectos</t>
  </si>
  <si>
    <t>Sitio Público y Contenido</t>
  </si>
  <si>
    <t>Integraciones Externas</t>
  </si>
  <si>
    <t>Fases y subfases de la obra</t>
  </si>
  <si>
    <t>TOTAL CODIFICACIÓN</t>
  </si>
  <si>
    <t>Avance automático y bitácora</t>
  </si>
  <si>
    <t>Ficha de la obra y diagrama imprimible</t>
  </si>
  <si>
    <t>HORAS POR INTEGRANTE</t>
  </si>
  <si>
    <t>Finalización y publicación en portafolio</t>
  </si>
  <si>
    <t>Marco Gonzalez (JP, AF, TS)</t>
  </si>
  <si>
    <t>Bruno Zuñiga (PG, DBA)</t>
  </si>
  <si>
    <t>Subida, observación y eliminación de documentos</t>
  </si>
  <si>
    <t>Simon Benavente (DI)</t>
  </si>
  <si>
    <t>Validación de archivos y descarga protegida</t>
  </si>
  <si>
    <t>Promedio semanal por integrante (18 semanas)</t>
  </si>
  <si>
    <t>Descarga en PDF / ZIP y antivirus ClamAV</t>
  </si>
  <si>
    <t>Peticiones (chat) cliente – Sinergi</t>
  </si>
  <si>
    <t>Archivado con eliminación a los 60 días</t>
  </si>
  <si>
    <t>Registro de actividad</t>
  </si>
  <si>
    <t>Sitio institucional (home, especialidades, redes)</t>
  </si>
  <si>
    <t>Portafolio público</t>
  </si>
  <si>
    <t>Feed de noticias (RSS) y curaduría</t>
  </si>
  <si>
    <t>Dashboard de métricas</t>
  </si>
  <si>
    <t>Notificaciones por correo (Brevo) y link de activación</t>
  </si>
  <si>
    <t>Chatbots de IA (general y de proyectos)</t>
  </si>
  <si>
    <t>Autenticación de doble factor (2FA)</t>
  </si>
  <si>
    <t>Gestión del Proyecto</t>
  </si>
  <si>
    <t>Ceremonias Scrum (planning, review y retrospectiva, 6 sprints)</t>
  </si>
  <si>
    <t>Integración del sistema</t>
  </si>
  <si>
    <t>Pruebas automáticas (unitarias e integración)</t>
  </si>
  <si>
    <t>QA por rol de usuario (cliente, empleado, admin)</t>
  </si>
  <si>
    <t>Corrección de defectos</t>
  </si>
  <si>
    <t>Migración de datos históricos</t>
  </si>
  <si>
    <t>Respaldos automáticos (BD y /media/)</t>
  </si>
  <si>
    <t>Despliegue en producción (VPS + HTTPS)</t>
  </si>
  <si>
    <t>Marcha blanca</t>
  </si>
  <si>
    <t>Capacitación a Sinergi</t>
  </si>
  <si>
    <t>Informe final y defensa del proyecto de título</t>
  </si>
  <si>
    <t>Cierre de proyecto (acta de entrega)</t>
  </si>
  <si>
    <t>Total</t>
  </si>
  <si>
    <t>Total proyecto</t>
  </si>
  <si>
    <t>Notas:</t>
  </si>
  <si>
    <t>• Equipo de 3 integrantes que cubren 6 roles: Marco Gonzalez (JP, AF y TS), Bruno Zuñiga (PG y DBA) y Simon Benavente (DI). Las horas se asignan por rol, no por persona.</t>
  </si>
  <si>
    <t>• Costo por hora: valor referencial de un perfil junior en el mercado chileno (supuesto del equipo). Los números en azul son datos editables; el resto se calcula con fórmulas.</t>
  </si>
  <si>
    <t>• Fases: Análisis y Planificación = Fase 1 (semanas 1-4); Diseño y Desarrollo = Sprints 1 a 5 (semanas 5-14); Implementación y Cierre = Sprint 6 y Fase 3 (semanas 15-18).</t>
  </si>
  <si>
    <t>• Las filas grises son componentes: su total es la suma de sus actividades y no se suma dos veces en los totales de fase.</t>
  </si>
  <si>
    <t>• No incluye costos de infraestructura (VPS de staging ~US$5-6/mes; producción la asume Sinergi) ni de APIs externas (Brevo plan gratuito 300 correos/día; API de IA según uso).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</si>
</sst>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 &quot;#,##0"/>
    <numFmt numFmtId="166" formatCode="0&quot; h&quot;"/>
    <numFmt numFmtId="167" formatCode="0.0&quot; h/sem&quot;"/>
  </numFmts>
  <fonts count="12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theme="1"/>
      <name val="Arial"/>
    </font>
    <font>
      <b/>
      <sz val="10.0"/>
      <color rgb="FF1F3864"/>
      <name val="Arial"/>
    </font>
    <font>
      <b/>
      <sz val="9.0"/>
      <color rgb="FFFFFFFF"/>
      <name val="Arial"/>
    </font>
    <font>
      <sz val="9.0"/>
      <color theme="1"/>
      <name val="Arial"/>
    </font>
    <font>
      <sz val="9.0"/>
      <color rgb="FF000000"/>
      <name val="Arial"/>
    </font>
    <font>
      <sz val="11.0"/>
      <color rgb="FF000000"/>
      <name val="Calibri"/>
    </font>
    <font>
      <b/>
      <sz val="9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i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6" numFmtId="16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3" fontId="8" numFmtId="165" xfId="0" applyAlignment="1" applyBorder="1" applyFill="1" applyFont="1" applyNumberFormat="1">
      <alignment shrinkToFit="0" vertical="bottom" wrapText="0"/>
    </xf>
    <xf borderId="1" fillId="4" fontId="8" numFmtId="0" xfId="0" applyAlignment="1" applyBorder="1" applyFill="1" applyFont="1">
      <alignment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4" fontId="8" numFmtId="0" xfId="0" applyAlignment="1" applyBorder="1" applyFill="1" applyFont="1">
      <alignment horizontal="center" shrinkToFit="0" vertical="center" wrapText="1"/>
    </xf>
    <xf borderId="1" fillId="4" fontId="8" numFmtId="165" xfId="0" applyAlignment="1" applyBorder="1" applyFill="1" applyFont="1" applyNumberFormat="1">
      <alignment horizontal="center" shrinkToFit="0" vertical="center" wrapText="1"/>
    </xf>
    <xf borderId="1" fillId="0" fontId="5" numFmtId="166" xfId="0" applyAlignment="1" applyBorder="1" applyFont="1" applyNumberFormat="1">
      <alignment shrinkToFit="0" vertical="bottom" wrapText="0"/>
    </xf>
    <xf borderId="1" fillId="0" fontId="5" numFmtId="167" xfId="0" applyAlignment="1" applyBorder="1" applyFont="1" applyNumberFormat="1">
      <alignment shrinkToFit="0" vertical="bottom" wrapText="0"/>
    </xf>
    <xf borderId="1" fillId="3" fontId="8" numFmtId="0" xfId="0" applyAlignment="1" applyBorder="1" applyFill="1" applyFont="1">
      <alignment horizontal="left" shrinkToFit="0" vertical="center" wrapText="1"/>
    </xf>
    <xf borderId="1" fillId="3" fontId="8" numFmtId="164" xfId="0" applyAlignment="1" applyBorder="1" applyFill="1" applyFont="1" applyNumberForma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3" fontId="8" numFmtId="165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8.0"/>
    <col customWidth="1" min="2" max="2" width="7.0"/>
    <col customWidth="1" min="3" max="8" width="6.0"/>
    <col customWidth="1" min="9" max="9" width="9.0"/>
    <col customWidth="1" min="10" max="10" width="13.0"/>
    <col customWidth="1" min="11" max="11" width="3.0"/>
    <col customWidth="1" min="12" max="12" width="7.0"/>
    <col customWidth="1" min="13" max="13" width="34.0"/>
    <col customWidth="1" min="14" max="14" width="42.0"/>
    <col customWidth="1" min="15" max="15" width="14.0"/>
    <col customWidth="1" min="16" max="26" width="8.71"/>
  </cols>
  <sheetData>
    <row r="2">
      <c r="A2" s="1" t="s">
        <v>0</v>
      </c>
    </row>
    <row r="3">
      <c r="A3" s="2" t="s">
        <v>1</v>
      </c>
    </row>
    <row r="4">
      <c r="A4" s="3" t="s">
        <v>2</v>
      </c>
      <c r="C4" s="3" t="s">
        <v>3</v>
      </c>
      <c r="L4" s="3" t="s">
        <v>4</v>
      </c>
    </row>
    <row r="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</row>
    <row r="6">
      <c r="A6" s="6" t="s">
        <v>19</v>
      </c>
      <c r="B6" s="7">
        <v>0.5</v>
      </c>
      <c r="C6" s="8">
        <v>2.0</v>
      </c>
      <c r="D6" s="8">
        <v>2.0</v>
      </c>
      <c r="E6" s="8">
        <v>1.0</v>
      </c>
      <c r="F6" s="9"/>
      <c r="G6" s="9"/>
      <c r="H6" s="8">
        <v>1.0</v>
      </c>
      <c r="I6" s="10">
        <f t="shared" ref="I6:I12" si="1">SUM(C6:H6)</f>
        <v>6</v>
      </c>
      <c r="J6" s="11">
        <f t="shared" ref="J6:J12" si="2">C6*$O$6+D6*$O$7+E6*$O$8+F6*$O$9+G6*$O$10+H6*$O$11</f>
        <v>44500</v>
      </c>
      <c r="L6" s="10" t="s">
        <v>7</v>
      </c>
      <c r="M6" s="6" t="s">
        <v>20</v>
      </c>
      <c r="N6" s="10" t="s">
        <v>21</v>
      </c>
      <c r="O6" s="12">
        <v>8500.0</v>
      </c>
    </row>
    <row r="7">
      <c r="A7" s="6" t="s">
        <v>22</v>
      </c>
      <c r="B7" s="7">
        <v>3.0</v>
      </c>
      <c r="C7" s="8">
        <v>2.0</v>
      </c>
      <c r="D7" s="8">
        <v>10.0</v>
      </c>
      <c r="E7" s="8">
        <v>2.0</v>
      </c>
      <c r="F7" s="9"/>
      <c r="G7" s="9"/>
      <c r="H7" s="8">
        <v>2.0</v>
      </c>
      <c r="I7" s="10">
        <f t="shared" si="1"/>
        <v>16</v>
      </c>
      <c r="J7" s="11">
        <f t="shared" si="2"/>
        <v>117000</v>
      </c>
      <c r="L7" s="10" t="s">
        <v>8</v>
      </c>
      <c r="M7" s="6" t="s">
        <v>23</v>
      </c>
      <c r="N7" s="10" t="s">
        <v>21</v>
      </c>
      <c r="O7" s="12">
        <v>7500.0</v>
      </c>
    </row>
    <row r="8">
      <c r="A8" s="6" t="s">
        <v>24</v>
      </c>
      <c r="B8" s="7">
        <v>2.0</v>
      </c>
      <c r="C8" s="8">
        <v>6.0</v>
      </c>
      <c r="D8" s="8">
        <v>4.0</v>
      </c>
      <c r="E8" s="9"/>
      <c r="F8" s="9"/>
      <c r="G8" s="9"/>
      <c r="H8" s="9"/>
      <c r="I8" s="10">
        <f t="shared" si="1"/>
        <v>10</v>
      </c>
      <c r="J8" s="11">
        <f t="shared" si="2"/>
        <v>81000</v>
      </c>
      <c r="L8" s="10" t="s">
        <v>9</v>
      </c>
      <c r="M8" s="6" t="s">
        <v>25</v>
      </c>
      <c r="N8" s="10" t="s">
        <v>26</v>
      </c>
      <c r="O8" s="12">
        <v>6500.0</v>
      </c>
    </row>
    <row r="9">
      <c r="A9" s="6" t="s">
        <v>27</v>
      </c>
      <c r="B9" s="7">
        <v>1.0</v>
      </c>
      <c r="C9" s="8">
        <v>1.0</v>
      </c>
      <c r="D9" s="8">
        <v>1.0</v>
      </c>
      <c r="E9" s="9"/>
      <c r="F9" s="9"/>
      <c r="G9" s="9"/>
      <c r="H9" s="9"/>
      <c r="I9" s="10">
        <f t="shared" si="1"/>
        <v>2</v>
      </c>
      <c r="J9" s="11">
        <f t="shared" si="2"/>
        <v>16000</v>
      </c>
      <c r="L9" s="10" t="s">
        <v>10</v>
      </c>
      <c r="M9" s="6" t="s">
        <v>28</v>
      </c>
      <c r="N9" s="10" t="s">
        <v>26</v>
      </c>
      <c r="O9" s="12">
        <v>6500.0</v>
      </c>
    </row>
    <row r="10">
      <c r="A10" s="6" t="s">
        <v>29</v>
      </c>
      <c r="B10" s="7">
        <v>1.0</v>
      </c>
      <c r="C10" s="8">
        <v>4.0</v>
      </c>
      <c r="D10" s="8">
        <v>2.0</v>
      </c>
      <c r="E10" s="9"/>
      <c r="F10" s="9"/>
      <c r="G10" s="9"/>
      <c r="H10" s="9"/>
      <c r="I10" s="10">
        <f t="shared" si="1"/>
        <v>6</v>
      </c>
      <c r="J10" s="11">
        <f t="shared" si="2"/>
        <v>49000</v>
      </c>
      <c r="L10" s="10" t="s">
        <v>11</v>
      </c>
      <c r="M10" s="6" t="s">
        <v>30</v>
      </c>
      <c r="N10" s="10" t="s">
        <v>21</v>
      </c>
      <c r="O10" s="12">
        <v>5500.0</v>
      </c>
    </row>
    <row r="11">
      <c r="A11" s="6" t="s">
        <v>31</v>
      </c>
      <c r="B11" s="7">
        <v>3.0</v>
      </c>
      <c r="C11" s="8">
        <v>2.0</v>
      </c>
      <c r="D11" s="8">
        <v>12.0</v>
      </c>
      <c r="E11" s="8">
        <v>2.0</v>
      </c>
      <c r="F11" s="9"/>
      <c r="G11" s="9"/>
      <c r="H11" s="8">
        <v>2.0</v>
      </c>
      <c r="I11" s="10">
        <f t="shared" si="1"/>
        <v>18</v>
      </c>
      <c r="J11" s="11">
        <f t="shared" si="2"/>
        <v>132000</v>
      </c>
      <c r="L11" s="10" t="s">
        <v>12</v>
      </c>
      <c r="M11" s="6" t="s">
        <v>32</v>
      </c>
      <c r="N11" s="10" t="s">
        <v>33</v>
      </c>
      <c r="O11" s="12">
        <v>6000.0</v>
      </c>
    </row>
    <row r="12">
      <c r="A12" s="6" t="s">
        <v>34</v>
      </c>
      <c r="B12" s="7">
        <v>1.0</v>
      </c>
      <c r="C12" s="8">
        <v>4.0</v>
      </c>
      <c r="D12" s="8">
        <v>2.0</v>
      </c>
      <c r="E12" s="8">
        <v>1.0</v>
      </c>
      <c r="F12" s="9"/>
      <c r="G12" s="8">
        <v>1.0</v>
      </c>
      <c r="H12" s="8">
        <v>1.0</v>
      </c>
      <c r="I12" s="10">
        <f t="shared" si="1"/>
        <v>9</v>
      </c>
      <c r="J12" s="11">
        <f t="shared" si="2"/>
        <v>67000</v>
      </c>
    </row>
    <row r="14">
      <c r="A14" s="4" t="s">
        <v>35</v>
      </c>
      <c r="B14" s="5" t="s">
        <v>6</v>
      </c>
      <c r="C14" s="5" t="s">
        <v>7</v>
      </c>
      <c r="D14" s="5" t="s">
        <v>8</v>
      </c>
      <c r="E14" s="5" t="s">
        <v>9</v>
      </c>
      <c r="F14" s="5" t="s">
        <v>10</v>
      </c>
      <c r="G14" s="5" t="s">
        <v>11</v>
      </c>
      <c r="H14" s="5" t="s">
        <v>12</v>
      </c>
      <c r="I14" s="5" t="s">
        <v>13</v>
      </c>
      <c r="J14" s="5" t="s">
        <v>14</v>
      </c>
      <c r="N14" s="3" t="s">
        <v>36</v>
      </c>
    </row>
    <row r="15">
      <c r="A15" s="6" t="s">
        <v>37</v>
      </c>
      <c r="B15" s="7">
        <v>2.0</v>
      </c>
      <c r="C15" s="8">
        <v>1.0</v>
      </c>
      <c r="D15" s="8">
        <v>10.0</v>
      </c>
      <c r="E15" s="8">
        <v>1.0</v>
      </c>
      <c r="F15" s="9"/>
      <c r="G15" s="9"/>
      <c r="H15" s="9"/>
      <c r="I15" s="10">
        <f t="shared" ref="I15:I19" si="3">SUM(C15:H15)</f>
        <v>12</v>
      </c>
      <c r="J15" s="11">
        <f t="shared" ref="J15:J19" si="4">C15*$O$6+D15*$O$7+E15*$O$8+F15*$O$9+G15*$O$10+H15*$O$11</f>
        <v>90000</v>
      </c>
      <c r="N15" s="13" t="s">
        <v>5</v>
      </c>
      <c r="O15" s="14">
        <f>SUM(J6:J12)-(0)</f>
        <v>506500</v>
      </c>
    </row>
    <row r="16">
      <c r="A16" s="6" t="s">
        <v>38</v>
      </c>
      <c r="B16" s="7">
        <v>1.0</v>
      </c>
      <c r="C16" s="8">
        <v>1.0</v>
      </c>
      <c r="D16" s="8">
        <v>2.0</v>
      </c>
      <c r="E16" s="8">
        <v>4.0</v>
      </c>
      <c r="F16" s="8">
        <v>1.0</v>
      </c>
      <c r="G16" s="9"/>
      <c r="H16" s="9"/>
      <c r="I16" s="10">
        <f t="shared" si="3"/>
        <v>8</v>
      </c>
      <c r="J16" s="11">
        <f t="shared" si="4"/>
        <v>56000</v>
      </c>
      <c r="N16" s="13" t="s">
        <v>35</v>
      </c>
      <c r="O16" s="14">
        <f>SUM(J15:J19)-(0)</f>
        <v>276500</v>
      </c>
    </row>
    <row r="17">
      <c r="A17" s="6" t="s">
        <v>39</v>
      </c>
      <c r="B17" s="7">
        <v>2.0</v>
      </c>
      <c r="C17" s="9"/>
      <c r="D17" s="8">
        <v>1.0</v>
      </c>
      <c r="E17" s="8">
        <v>1.0</v>
      </c>
      <c r="F17" s="8">
        <v>6.0</v>
      </c>
      <c r="G17" s="9"/>
      <c r="H17" s="9"/>
      <c r="I17" s="10">
        <f t="shared" si="3"/>
        <v>8</v>
      </c>
      <c r="J17" s="11">
        <f t="shared" si="4"/>
        <v>53000</v>
      </c>
      <c r="N17" s="13" t="s">
        <v>40</v>
      </c>
      <c r="O17" s="14">
        <f>SUM(J22:J63)-(J35+J39+J44+J48+J61+J52+J22+J57+J26+J29)</f>
        <v>2227500</v>
      </c>
    </row>
    <row r="18">
      <c r="A18" s="6" t="s">
        <v>41</v>
      </c>
      <c r="B18" s="7">
        <v>2.0</v>
      </c>
      <c r="C18" s="9"/>
      <c r="D18" s="8">
        <v>1.0</v>
      </c>
      <c r="E18" s="9"/>
      <c r="F18" s="9"/>
      <c r="G18" s="9"/>
      <c r="H18" s="8">
        <v>8.0</v>
      </c>
      <c r="I18" s="10">
        <f t="shared" si="3"/>
        <v>9</v>
      </c>
      <c r="J18" s="11">
        <f t="shared" si="4"/>
        <v>55500</v>
      </c>
      <c r="N18" s="13" t="s">
        <v>42</v>
      </c>
      <c r="O18" s="14">
        <f>SUM(J66:J75)-(0)</f>
        <v>687000</v>
      </c>
    </row>
    <row r="19">
      <c r="A19" s="6" t="s">
        <v>43</v>
      </c>
      <c r="B19" s="7">
        <v>1.0</v>
      </c>
      <c r="C19" s="8">
        <v>1.0</v>
      </c>
      <c r="D19" s="8">
        <v>1.0</v>
      </c>
      <c r="E19" s="9"/>
      <c r="F19" s="9"/>
      <c r="G19" s="9"/>
      <c r="H19" s="8">
        <v>1.0</v>
      </c>
      <c r="I19" s="10">
        <f t="shared" si="3"/>
        <v>3</v>
      </c>
      <c r="J19" s="11">
        <f t="shared" si="4"/>
        <v>22000</v>
      </c>
      <c r="N19" s="15" t="s">
        <v>44</v>
      </c>
      <c r="O19" s="16">
        <f>SUM(O15:O18)</f>
        <v>3697500</v>
      </c>
    </row>
    <row r="21" ht="15.75" customHeight="1">
      <c r="A21" s="4" t="s">
        <v>40</v>
      </c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  <c r="I21" s="5" t="s">
        <v>13</v>
      </c>
      <c r="J21" s="5" t="s">
        <v>14</v>
      </c>
      <c r="N21" s="3" t="s">
        <v>45</v>
      </c>
    </row>
    <row r="22" ht="15.75" customHeight="1">
      <c r="A22" s="17" t="s">
        <v>46</v>
      </c>
      <c r="B22" s="18"/>
      <c r="C22" s="18"/>
      <c r="D22" s="18"/>
      <c r="E22" s="18"/>
      <c r="F22" s="18"/>
      <c r="G22" s="18"/>
      <c r="H22" s="18"/>
      <c r="I22" s="19">
        <f t="shared" ref="I22:J22" si="5">SUM(I23:I25)</f>
        <v>14</v>
      </c>
      <c r="J22" s="20">
        <f t="shared" si="5"/>
        <v>89500</v>
      </c>
      <c r="N22" s="13" t="s">
        <v>20</v>
      </c>
      <c r="O22" s="14">
        <f>C78*$O$6</f>
        <v>433500</v>
      </c>
    </row>
    <row r="23" ht="15.75" customHeight="1">
      <c r="A23" s="6" t="s">
        <v>47</v>
      </c>
      <c r="B23" s="7">
        <v>1.0</v>
      </c>
      <c r="C23" s="9"/>
      <c r="D23" s="9"/>
      <c r="E23" s="8">
        <v>4.0</v>
      </c>
      <c r="F23" s="9"/>
      <c r="G23" s="9"/>
      <c r="H23" s="9"/>
      <c r="I23" s="10">
        <f t="shared" ref="I23:I25" si="6">SUM(C23:H23)</f>
        <v>4</v>
      </c>
      <c r="J23" s="11">
        <f t="shared" ref="J23:J25" si="7">C23*$O$6+D23*$O$7+E23*$O$8+F23*$O$9+G23*$O$10+H23*$O$11</f>
        <v>26000</v>
      </c>
      <c r="N23" s="13" t="s">
        <v>23</v>
      </c>
      <c r="O23" s="14">
        <f>D78*$O$7</f>
        <v>622500</v>
      </c>
    </row>
    <row r="24" ht="15.75" customHeight="1">
      <c r="A24" s="6" t="s">
        <v>48</v>
      </c>
      <c r="B24" s="7">
        <v>1.0</v>
      </c>
      <c r="C24" s="9"/>
      <c r="D24" s="9"/>
      <c r="E24" s="8">
        <v>3.0</v>
      </c>
      <c r="F24" s="8">
        <v>2.0</v>
      </c>
      <c r="G24" s="9"/>
      <c r="H24" s="9"/>
      <c r="I24" s="10">
        <f t="shared" si="6"/>
        <v>5</v>
      </c>
      <c r="J24" s="11">
        <f t="shared" si="7"/>
        <v>32500</v>
      </c>
      <c r="N24" s="13" t="s">
        <v>25</v>
      </c>
      <c r="O24" s="14">
        <f>E78*$O$8</f>
        <v>1163500</v>
      </c>
    </row>
    <row r="25" ht="15.75" customHeight="1">
      <c r="A25" s="6" t="s">
        <v>49</v>
      </c>
      <c r="B25" s="7">
        <v>1.0</v>
      </c>
      <c r="C25" s="9"/>
      <c r="D25" s="9"/>
      <c r="E25" s="8">
        <v>2.0</v>
      </c>
      <c r="F25" s="9"/>
      <c r="G25" s="9"/>
      <c r="H25" s="8">
        <v>3.0</v>
      </c>
      <c r="I25" s="10">
        <f t="shared" si="6"/>
        <v>5</v>
      </c>
      <c r="J25" s="11">
        <f t="shared" si="7"/>
        <v>31000</v>
      </c>
      <c r="N25" s="13" t="s">
        <v>28</v>
      </c>
      <c r="O25" s="14">
        <f>F78*$O$9</f>
        <v>253500</v>
      </c>
    </row>
    <row r="26" ht="15.75" customHeight="1">
      <c r="A26" s="17" t="s">
        <v>50</v>
      </c>
      <c r="B26" s="18"/>
      <c r="C26" s="18"/>
      <c r="D26" s="18"/>
      <c r="E26" s="18"/>
      <c r="F26" s="18"/>
      <c r="G26" s="18"/>
      <c r="H26" s="18"/>
      <c r="I26" s="19">
        <f t="shared" ref="I26:J26" si="8">SUM(I27:I28)</f>
        <v>9</v>
      </c>
      <c r="J26" s="20">
        <f t="shared" si="8"/>
        <v>57500</v>
      </c>
      <c r="N26" s="13" t="s">
        <v>30</v>
      </c>
      <c r="O26" s="14">
        <f>G78*$O$10</f>
        <v>456500</v>
      </c>
    </row>
    <row r="27" ht="15.75" customHeight="1">
      <c r="A27" s="6" t="s">
        <v>51</v>
      </c>
      <c r="B27" s="7">
        <v>2.0</v>
      </c>
      <c r="C27" s="9"/>
      <c r="D27" s="9"/>
      <c r="E27" s="8">
        <v>2.0</v>
      </c>
      <c r="F27" s="8">
        <v>4.0</v>
      </c>
      <c r="G27" s="9"/>
      <c r="H27" s="9"/>
      <c r="I27" s="10">
        <f t="shared" ref="I27:I28" si="9">SUM(C27:H27)</f>
        <v>6</v>
      </c>
      <c r="J27" s="11">
        <f t="shared" ref="J27:J28" si="10">C27*$O$6+D27*$O$7+E27*$O$8+F27*$O$9+G27*$O$10+H27*$O$11</f>
        <v>39000</v>
      </c>
      <c r="N27" s="13" t="s">
        <v>32</v>
      </c>
      <c r="O27" s="14">
        <f>H78*$O$11</f>
        <v>768000</v>
      </c>
    </row>
    <row r="28" ht="15.75" customHeight="1">
      <c r="A28" s="6" t="s">
        <v>52</v>
      </c>
      <c r="B28" s="7">
        <v>1.0</v>
      </c>
      <c r="C28" s="9"/>
      <c r="D28" s="9"/>
      <c r="E28" s="9"/>
      <c r="F28" s="8">
        <v>2.0</v>
      </c>
      <c r="G28" s="8">
        <v>1.0</v>
      </c>
      <c r="H28" s="9"/>
      <c r="I28" s="10">
        <f t="shared" si="9"/>
        <v>3</v>
      </c>
      <c r="J28" s="11">
        <f t="shared" si="10"/>
        <v>18500</v>
      </c>
      <c r="N28" s="15" t="s">
        <v>53</v>
      </c>
      <c r="O28" s="16">
        <f>SUM(O22:O27)</f>
        <v>3697500</v>
      </c>
    </row>
    <row r="29" ht="15.75" customHeight="1">
      <c r="A29" s="17" t="s">
        <v>54</v>
      </c>
      <c r="B29" s="18"/>
      <c r="C29" s="18"/>
      <c r="D29" s="18"/>
      <c r="E29" s="18"/>
      <c r="F29" s="18"/>
      <c r="G29" s="18"/>
      <c r="H29" s="18"/>
      <c r="I29" s="19">
        <f t="shared" ref="I29:J29" si="11">SUM(I30:I34)</f>
        <v>47</v>
      </c>
      <c r="J29" s="20">
        <f t="shared" si="11"/>
        <v>293500</v>
      </c>
    </row>
    <row r="30" ht="15.75" customHeight="1">
      <c r="A30" s="6" t="s">
        <v>55</v>
      </c>
      <c r="B30" s="7">
        <v>2.0</v>
      </c>
      <c r="C30" s="9"/>
      <c r="D30" s="9"/>
      <c r="E30" s="8">
        <v>6.0</v>
      </c>
      <c r="F30" s="9"/>
      <c r="G30" s="8">
        <v>3.0</v>
      </c>
      <c r="H30" s="8">
        <v>4.0</v>
      </c>
      <c r="I30" s="10">
        <f t="shared" ref="I30:I34" si="12">SUM(C30:H30)</f>
        <v>13</v>
      </c>
      <c r="J30" s="11">
        <f t="shared" ref="J30:J34" si="13">C30*$O$6+D30*$O$7+E30*$O$8+F30*$O$9+G30*$O$10+H30*$O$11</f>
        <v>79500</v>
      </c>
      <c r="N30" s="3" t="s">
        <v>56</v>
      </c>
    </row>
    <row r="31" ht="15.75" customHeight="1">
      <c r="A31" s="6" t="s">
        <v>57</v>
      </c>
      <c r="B31" s="7">
        <v>2.0</v>
      </c>
      <c r="C31" s="9"/>
      <c r="D31" s="8">
        <v>1.0</v>
      </c>
      <c r="E31" s="8">
        <v>4.0</v>
      </c>
      <c r="F31" s="8">
        <v>2.0</v>
      </c>
      <c r="G31" s="8">
        <v>2.0</v>
      </c>
      <c r="H31" s="8">
        <v>4.0</v>
      </c>
      <c r="I31" s="10">
        <f t="shared" si="12"/>
        <v>13</v>
      </c>
      <c r="J31" s="11">
        <f t="shared" si="13"/>
        <v>81500</v>
      </c>
      <c r="N31" s="13" t="s">
        <v>46</v>
      </c>
      <c r="O31" s="14">
        <f>J22</f>
        <v>89500</v>
      </c>
    </row>
    <row r="32" ht="15.75" customHeight="1">
      <c r="A32" s="6" t="s">
        <v>58</v>
      </c>
      <c r="B32" s="7">
        <v>1.0</v>
      </c>
      <c r="C32" s="9"/>
      <c r="D32" s="9"/>
      <c r="E32" s="8">
        <v>5.0</v>
      </c>
      <c r="F32" s="9"/>
      <c r="G32" s="8">
        <v>2.0</v>
      </c>
      <c r="H32" s="9"/>
      <c r="I32" s="10">
        <f t="shared" si="12"/>
        <v>7</v>
      </c>
      <c r="J32" s="11">
        <f t="shared" si="13"/>
        <v>43500</v>
      </c>
      <c r="N32" s="13" t="s">
        <v>50</v>
      </c>
      <c r="O32" s="14">
        <f>J26</f>
        <v>57500</v>
      </c>
    </row>
    <row r="33" ht="15.75" customHeight="1">
      <c r="A33" s="6" t="s">
        <v>59</v>
      </c>
      <c r="B33" s="7">
        <v>1.0</v>
      </c>
      <c r="C33" s="9"/>
      <c r="D33" s="9"/>
      <c r="E33" s="8">
        <v>3.0</v>
      </c>
      <c r="F33" s="9"/>
      <c r="G33" s="8">
        <v>1.0</v>
      </c>
      <c r="H33" s="9"/>
      <c r="I33" s="10">
        <f t="shared" si="12"/>
        <v>4</v>
      </c>
      <c r="J33" s="11">
        <f t="shared" si="13"/>
        <v>25000</v>
      </c>
      <c r="N33" s="13" t="s">
        <v>54</v>
      </c>
      <c r="O33" s="14">
        <f>J29</f>
        <v>293500</v>
      </c>
    </row>
    <row r="34" ht="15.75" customHeight="1">
      <c r="A34" s="6" t="s">
        <v>60</v>
      </c>
      <c r="B34" s="7">
        <v>1.0</v>
      </c>
      <c r="C34" s="9"/>
      <c r="D34" s="8">
        <v>1.0</v>
      </c>
      <c r="E34" s="8">
        <v>4.0</v>
      </c>
      <c r="F34" s="8">
        <v>2.0</v>
      </c>
      <c r="G34" s="8">
        <v>1.0</v>
      </c>
      <c r="H34" s="8">
        <v>2.0</v>
      </c>
      <c r="I34" s="10">
        <f t="shared" si="12"/>
        <v>10</v>
      </c>
      <c r="J34" s="11">
        <f t="shared" si="13"/>
        <v>64000</v>
      </c>
      <c r="N34" s="13" t="s">
        <v>61</v>
      </c>
      <c r="O34" s="14">
        <f>J35</f>
        <v>237000</v>
      </c>
    </row>
    <row r="35" ht="15.75" customHeight="1">
      <c r="A35" s="17" t="s">
        <v>61</v>
      </c>
      <c r="B35" s="18"/>
      <c r="C35" s="18"/>
      <c r="D35" s="18"/>
      <c r="E35" s="18"/>
      <c r="F35" s="18"/>
      <c r="G35" s="18"/>
      <c r="H35" s="18"/>
      <c r="I35" s="19">
        <f t="shared" ref="I35:J35" si="14">SUM(I36:I38)</f>
        <v>38</v>
      </c>
      <c r="J35" s="20">
        <f t="shared" si="14"/>
        <v>237000</v>
      </c>
      <c r="N35" s="13" t="s">
        <v>62</v>
      </c>
      <c r="O35" s="14">
        <f>J39</f>
        <v>266000</v>
      </c>
    </row>
    <row r="36" ht="15.75" customHeight="1">
      <c r="A36" s="6" t="s">
        <v>63</v>
      </c>
      <c r="B36" s="7">
        <v>2.0</v>
      </c>
      <c r="C36" s="9"/>
      <c r="D36" s="8">
        <v>1.0</v>
      </c>
      <c r="E36" s="8">
        <v>5.0</v>
      </c>
      <c r="F36" s="9"/>
      <c r="G36" s="8">
        <v>2.0</v>
      </c>
      <c r="H36" s="8">
        <v>4.0</v>
      </c>
      <c r="I36" s="10">
        <f t="shared" ref="I36:I38" si="15">SUM(C36:H36)</f>
        <v>12</v>
      </c>
      <c r="J36" s="11">
        <f t="shared" ref="J36:J38" si="16">C36*$O$6+D36*$O$7+E36*$O$8+F36*$O$9+G36*$O$10+H36*$O$11</f>
        <v>75000</v>
      </c>
      <c r="N36" s="13" t="s">
        <v>64</v>
      </c>
      <c r="O36" s="14">
        <f>J44</f>
        <v>167000</v>
      </c>
    </row>
    <row r="37" ht="15.75" customHeight="1">
      <c r="A37" s="6" t="s">
        <v>65</v>
      </c>
      <c r="B37" s="7">
        <v>2.0</v>
      </c>
      <c r="C37" s="9"/>
      <c r="D37" s="8">
        <v>1.0</v>
      </c>
      <c r="E37" s="8">
        <v>4.0</v>
      </c>
      <c r="F37" s="9"/>
      <c r="G37" s="8">
        <v>2.0</v>
      </c>
      <c r="H37" s="8">
        <v>5.0</v>
      </c>
      <c r="I37" s="10">
        <f t="shared" si="15"/>
        <v>12</v>
      </c>
      <c r="J37" s="11">
        <f t="shared" si="16"/>
        <v>74500</v>
      </c>
      <c r="N37" s="13" t="s">
        <v>66</v>
      </c>
      <c r="O37" s="14">
        <f>J48</f>
        <v>204000</v>
      </c>
    </row>
    <row r="38" ht="15.75" customHeight="1">
      <c r="A38" s="6" t="s">
        <v>67</v>
      </c>
      <c r="B38" s="7">
        <v>2.0</v>
      </c>
      <c r="C38" s="9"/>
      <c r="D38" s="8">
        <v>1.0</v>
      </c>
      <c r="E38" s="8">
        <v>4.0</v>
      </c>
      <c r="F38" s="8">
        <v>2.0</v>
      </c>
      <c r="G38" s="8">
        <v>2.0</v>
      </c>
      <c r="H38" s="8">
        <v>5.0</v>
      </c>
      <c r="I38" s="10">
        <f t="shared" si="15"/>
        <v>14</v>
      </c>
      <c r="J38" s="11">
        <f t="shared" si="16"/>
        <v>87500</v>
      </c>
      <c r="N38" s="13" t="s">
        <v>68</v>
      </c>
      <c r="O38" s="14">
        <f>J52</f>
        <v>282500</v>
      </c>
    </row>
    <row r="39" ht="15.75" customHeight="1">
      <c r="A39" s="17" t="s">
        <v>62</v>
      </c>
      <c r="B39" s="18"/>
      <c r="C39" s="18"/>
      <c r="D39" s="18"/>
      <c r="E39" s="18"/>
      <c r="F39" s="18"/>
      <c r="G39" s="18"/>
      <c r="H39" s="18"/>
      <c r="I39" s="19">
        <f t="shared" ref="I39:J39" si="17">SUM(I40:I43)</f>
        <v>43</v>
      </c>
      <c r="J39" s="20">
        <f t="shared" si="17"/>
        <v>266000</v>
      </c>
      <c r="N39" s="13" t="s">
        <v>69</v>
      </c>
      <c r="O39" s="14">
        <f>J57</f>
        <v>299000</v>
      </c>
    </row>
    <row r="40" ht="15.75" customHeight="1">
      <c r="A40" s="6" t="s">
        <v>70</v>
      </c>
      <c r="B40" s="7">
        <v>3.0</v>
      </c>
      <c r="C40" s="9"/>
      <c r="D40" s="8">
        <v>1.0</v>
      </c>
      <c r="E40" s="8">
        <v>6.0</v>
      </c>
      <c r="F40" s="8">
        <v>2.0</v>
      </c>
      <c r="G40" s="8">
        <v>3.0</v>
      </c>
      <c r="H40" s="8">
        <v>7.0</v>
      </c>
      <c r="I40" s="10">
        <f t="shared" ref="I40:I43" si="18">SUM(C40:H40)</f>
        <v>19</v>
      </c>
      <c r="J40" s="11">
        <f t="shared" ref="J40:J43" si="19">C40*$O$6+D40*$O$7+E40*$O$8+F40*$O$9+G40*$O$10+H40*$O$11</f>
        <v>118000</v>
      </c>
      <c r="N40" s="15" t="s">
        <v>71</v>
      </c>
      <c r="O40" s="16">
        <f>SUM(O31:O39)</f>
        <v>1896000</v>
      </c>
    </row>
    <row r="41" ht="15.75" customHeight="1">
      <c r="A41" s="6" t="s">
        <v>72</v>
      </c>
      <c r="B41" s="7">
        <v>2.0</v>
      </c>
      <c r="C41" s="9"/>
      <c r="D41" s="9"/>
      <c r="E41" s="8">
        <v>6.0</v>
      </c>
      <c r="F41" s="9"/>
      <c r="G41" s="8">
        <v>2.0</v>
      </c>
      <c r="H41" s="9"/>
      <c r="I41" s="10">
        <f t="shared" si="18"/>
        <v>8</v>
      </c>
      <c r="J41" s="11">
        <f t="shared" si="19"/>
        <v>50000</v>
      </c>
    </row>
    <row r="42" ht="15.75" customHeight="1">
      <c r="A42" s="6" t="s">
        <v>73</v>
      </c>
      <c r="B42" s="7">
        <v>2.0</v>
      </c>
      <c r="C42" s="9"/>
      <c r="D42" s="9"/>
      <c r="E42" s="8">
        <v>2.0</v>
      </c>
      <c r="F42" s="9"/>
      <c r="G42" s="8">
        <v>1.0</v>
      </c>
      <c r="H42" s="8">
        <v>6.0</v>
      </c>
      <c r="I42" s="10">
        <f t="shared" si="18"/>
        <v>9</v>
      </c>
      <c r="J42" s="11">
        <f t="shared" si="19"/>
        <v>54500</v>
      </c>
      <c r="N42" s="3" t="s">
        <v>74</v>
      </c>
    </row>
    <row r="43" ht="15.75" customHeight="1">
      <c r="A43" s="6" t="s">
        <v>75</v>
      </c>
      <c r="B43" s="7">
        <v>1.0</v>
      </c>
      <c r="C43" s="9"/>
      <c r="D43" s="9"/>
      <c r="E43" s="8">
        <v>4.0</v>
      </c>
      <c r="F43" s="9"/>
      <c r="G43" s="8">
        <v>1.0</v>
      </c>
      <c r="H43" s="8">
        <v>2.0</v>
      </c>
      <c r="I43" s="10">
        <f t="shared" si="18"/>
        <v>7</v>
      </c>
      <c r="J43" s="11">
        <f t="shared" si="19"/>
        <v>43500</v>
      </c>
      <c r="N43" s="13" t="s">
        <v>76</v>
      </c>
      <c r="O43" s="21">
        <f>C78+D78+G78</f>
        <v>217</v>
      </c>
    </row>
    <row r="44" ht="15.75" customHeight="1">
      <c r="A44" s="17" t="s">
        <v>64</v>
      </c>
      <c r="B44" s="18"/>
      <c r="C44" s="18"/>
      <c r="D44" s="18"/>
      <c r="E44" s="18"/>
      <c r="F44" s="18"/>
      <c r="G44" s="18"/>
      <c r="H44" s="18"/>
      <c r="I44" s="19">
        <f t="shared" ref="I44:J44" si="20">SUM(I45:I47)</f>
        <v>27</v>
      </c>
      <c r="J44" s="20">
        <f t="shared" si="20"/>
        <v>167000</v>
      </c>
      <c r="N44" s="13" t="s">
        <v>77</v>
      </c>
      <c r="O44" s="21">
        <f>E78+F78</f>
        <v>218</v>
      </c>
    </row>
    <row r="45" ht="15.75" customHeight="1">
      <c r="A45" s="6" t="s">
        <v>78</v>
      </c>
      <c r="B45" s="7">
        <v>2.0</v>
      </c>
      <c r="C45" s="9"/>
      <c r="D45" s="9"/>
      <c r="E45" s="8">
        <v>5.0</v>
      </c>
      <c r="F45" s="9"/>
      <c r="G45" s="8">
        <v>2.0</v>
      </c>
      <c r="H45" s="8">
        <v>3.0</v>
      </c>
      <c r="I45" s="10">
        <f t="shared" ref="I45:I47" si="21">SUM(C45:H45)</f>
        <v>10</v>
      </c>
      <c r="J45" s="11">
        <f t="shared" ref="J45:J47" si="22">C45*$O$6+D45*$O$7+E45*$O$8+F45*$O$9+G45*$O$10+H45*$O$11</f>
        <v>61500</v>
      </c>
      <c r="N45" s="13" t="s">
        <v>79</v>
      </c>
      <c r="O45" s="21">
        <f>H78</f>
        <v>128</v>
      </c>
    </row>
    <row r="46" ht="15.75" customHeight="1">
      <c r="A46" s="6" t="s">
        <v>80</v>
      </c>
      <c r="B46" s="7">
        <v>2.0</v>
      </c>
      <c r="C46" s="9"/>
      <c r="D46" s="9"/>
      <c r="E46" s="8">
        <v>6.0</v>
      </c>
      <c r="F46" s="9"/>
      <c r="G46" s="8">
        <v>3.0</v>
      </c>
      <c r="H46" s="9"/>
      <c r="I46" s="10">
        <f t="shared" si="21"/>
        <v>9</v>
      </c>
      <c r="J46" s="11">
        <f t="shared" si="22"/>
        <v>55500</v>
      </c>
      <c r="N46" s="13" t="s">
        <v>81</v>
      </c>
      <c r="O46" s="22">
        <f>I78/3/18</f>
        <v>10.42592593</v>
      </c>
    </row>
    <row r="47" ht="15.75" customHeight="1">
      <c r="A47" s="6" t="s">
        <v>82</v>
      </c>
      <c r="B47" s="7">
        <v>2.0</v>
      </c>
      <c r="C47" s="9"/>
      <c r="D47" s="9"/>
      <c r="E47" s="8">
        <v>6.0</v>
      </c>
      <c r="F47" s="9"/>
      <c r="G47" s="8">
        <v>2.0</v>
      </c>
      <c r="H47" s="9"/>
      <c r="I47" s="10">
        <f t="shared" si="21"/>
        <v>8</v>
      </c>
      <c r="J47" s="11">
        <f t="shared" si="22"/>
        <v>50000</v>
      </c>
    </row>
    <row r="48" ht="15.75" customHeight="1">
      <c r="A48" s="17" t="s">
        <v>66</v>
      </c>
      <c r="B48" s="18"/>
      <c r="C48" s="18"/>
      <c r="D48" s="18"/>
      <c r="E48" s="18"/>
      <c r="F48" s="18"/>
      <c r="G48" s="18"/>
      <c r="H48" s="18"/>
      <c r="I48" s="19">
        <f t="shared" ref="I48:J48" si="23">SUM(I49:I51)</f>
        <v>33</v>
      </c>
      <c r="J48" s="20">
        <f t="shared" si="23"/>
        <v>204000</v>
      </c>
    </row>
    <row r="49" ht="15.75" customHeight="1">
      <c r="A49" s="6" t="s">
        <v>83</v>
      </c>
      <c r="B49" s="7">
        <v>3.0</v>
      </c>
      <c r="C49" s="9"/>
      <c r="D49" s="8">
        <v>1.0</v>
      </c>
      <c r="E49" s="8">
        <v>7.0</v>
      </c>
      <c r="F49" s="8">
        <v>2.0</v>
      </c>
      <c r="G49" s="8">
        <v>3.0</v>
      </c>
      <c r="H49" s="8">
        <v>7.0</v>
      </c>
      <c r="I49" s="10">
        <f t="shared" ref="I49:I51" si="24">SUM(C49:H49)</f>
        <v>20</v>
      </c>
      <c r="J49" s="11">
        <f t="shared" ref="J49:J51" si="25">C49*$O$6+D49*$O$7+E49*$O$8+F49*$O$9+G49*$O$10+H49*$O$11</f>
        <v>124500</v>
      </c>
    </row>
    <row r="50" ht="15.75" customHeight="1">
      <c r="A50" s="6" t="s">
        <v>84</v>
      </c>
      <c r="B50" s="7">
        <v>1.0</v>
      </c>
      <c r="C50" s="9"/>
      <c r="D50" s="9"/>
      <c r="E50" s="8">
        <v>3.0</v>
      </c>
      <c r="F50" s="9"/>
      <c r="G50" s="8">
        <v>2.0</v>
      </c>
      <c r="H50" s="8">
        <v>2.0</v>
      </c>
      <c r="I50" s="10">
        <f t="shared" si="24"/>
        <v>7</v>
      </c>
      <c r="J50" s="11">
        <f t="shared" si="25"/>
        <v>42500</v>
      </c>
    </row>
    <row r="51" ht="15.75" customHeight="1">
      <c r="A51" s="6" t="s">
        <v>85</v>
      </c>
      <c r="B51" s="7">
        <v>1.0</v>
      </c>
      <c r="C51" s="9"/>
      <c r="D51" s="9"/>
      <c r="E51" s="8">
        <v>2.0</v>
      </c>
      <c r="F51" s="8">
        <v>1.0</v>
      </c>
      <c r="G51" s="8">
        <v>1.0</v>
      </c>
      <c r="H51" s="8">
        <v>2.0</v>
      </c>
      <c r="I51" s="10">
        <f t="shared" si="24"/>
        <v>6</v>
      </c>
      <c r="J51" s="11">
        <f t="shared" si="25"/>
        <v>37000</v>
      </c>
    </row>
    <row r="52" ht="15.75" customHeight="1">
      <c r="A52" s="17" t="s">
        <v>68</v>
      </c>
      <c r="B52" s="18"/>
      <c r="C52" s="18"/>
      <c r="D52" s="18"/>
      <c r="E52" s="18"/>
      <c r="F52" s="18"/>
      <c r="G52" s="18"/>
      <c r="H52" s="18"/>
      <c r="I52" s="19">
        <f t="shared" ref="I52:J52" si="26">SUM(I53:I56)</f>
        <v>46</v>
      </c>
      <c r="J52" s="20">
        <f t="shared" si="26"/>
        <v>282500</v>
      </c>
    </row>
    <row r="53" ht="15.75" customHeight="1">
      <c r="A53" s="6" t="s">
        <v>86</v>
      </c>
      <c r="B53" s="7">
        <v>2.0</v>
      </c>
      <c r="C53" s="9"/>
      <c r="D53" s="9"/>
      <c r="E53" s="8">
        <v>1.0</v>
      </c>
      <c r="F53" s="9"/>
      <c r="G53" s="9"/>
      <c r="H53" s="8">
        <v>8.0</v>
      </c>
      <c r="I53" s="10">
        <f t="shared" ref="I53:I56" si="27">SUM(C53:H53)</f>
        <v>9</v>
      </c>
      <c r="J53" s="11">
        <f t="shared" ref="J53:J56" si="28">C53*$O$6+D53*$O$7+E53*$O$8+F53*$O$9+G53*$O$10+H53*$O$11</f>
        <v>54500</v>
      </c>
    </row>
    <row r="54" ht="15.75" customHeight="1">
      <c r="A54" s="6" t="s">
        <v>87</v>
      </c>
      <c r="B54" s="7">
        <v>1.0</v>
      </c>
      <c r="C54" s="9"/>
      <c r="D54" s="9"/>
      <c r="E54" s="8">
        <v>3.0</v>
      </c>
      <c r="F54" s="9"/>
      <c r="G54" s="8">
        <v>1.0</v>
      </c>
      <c r="H54" s="8">
        <v>4.0</v>
      </c>
      <c r="I54" s="10">
        <f t="shared" si="27"/>
        <v>8</v>
      </c>
      <c r="J54" s="11">
        <f t="shared" si="28"/>
        <v>49000</v>
      </c>
    </row>
    <row r="55" ht="15.75" customHeight="1">
      <c r="A55" s="6" t="s">
        <v>88</v>
      </c>
      <c r="B55" s="7">
        <v>2.0</v>
      </c>
      <c r="C55" s="9"/>
      <c r="D55" s="9"/>
      <c r="E55" s="8">
        <v>6.0</v>
      </c>
      <c r="F55" s="8">
        <v>1.0</v>
      </c>
      <c r="G55" s="8">
        <v>2.0</v>
      </c>
      <c r="H55" s="8">
        <v>5.0</v>
      </c>
      <c r="I55" s="10">
        <f t="shared" si="27"/>
        <v>14</v>
      </c>
      <c r="J55" s="11">
        <f t="shared" si="28"/>
        <v>86500</v>
      </c>
    </row>
    <row r="56" ht="15.75" customHeight="1">
      <c r="A56" s="6" t="s">
        <v>89</v>
      </c>
      <c r="B56" s="7">
        <v>2.0</v>
      </c>
      <c r="C56" s="9"/>
      <c r="D56" s="8">
        <v>1.0</v>
      </c>
      <c r="E56" s="8">
        <v>4.0</v>
      </c>
      <c r="F56" s="9"/>
      <c r="G56" s="8">
        <v>2.0</v>
      </c>
      <c r="H56" s="8">
        <v>8.0</v>
      </c>
      <c r="I56" s="10">
        <f t="shared" si="27"/>
        <v>15</v>
      </c>
      <c r="J56" s="11">
        <f t="shared" si="28"/>
        <v>92500</v>
      </c>
    </row>
    <row r="57" ht="15.75" customHeight="1">
      <c r="A57" s="17" t="s">
        <v>69</v>
      </c>
      <c r="B57" s="18"/>
      <c r="C57" s="18"/>
      <c r="D57" s="18"/>
      <c r="E57" s="18"/>
      <c r="F57" s="18"/>
      <c r="G57" s="18"/>
      <c r="H57" s="18"/>
      <c r="I57" s="19">
        <f t="shared" ref="I57:J57" si="29">SUM(I58:I60)</f>
        <v>48</v>
      </c>
      <c r="J57" s="20">
        <f t="shared" si="29"/>
        <v>299000</v>
      </c>
    </row>
    <row r="58" ht="15.75" customHeight="1">
      <c r="A58" s="6" t="s">
        <v>90</v>
      </c>
      <c r="B58" s="7">
        <v>2.0</v>
      </c>
      <c r="C58" s="9"/>
      <c r="D58" s="9"/>
      <c r="E58" s="8">
        <v>8.0</v>
      </c>
      <c r="F58" s="9"/>
      <c r="G58" s="8">
        <v>3.0</v>
      </c>
      <c r="H58" s="8">
        <v>2.0</v>
      </c>
      <c r="I58" s="10">
        <f t="shared" ref="I58:I60" si="30">SUM(C58:H58)</f>
        <v>13</v>
      </c>
      <c r="J58" s="11">
        <f t="shared" ref="J58:J60" si="31">C58*$O$6+D58*$O$7+E58*$O$8+F58*$O$9+G58*$O$10+H58*$O$11</f>
        <v>80500</v>
      </c>
    </row>
    <row r="59" ht="15.75" customHeight="1">
      <c r="A59" s="6" t="s">
        <v>91</v>
      </c>
      <c r="B59" s="7">
        <v>4.0</v>
      </c>
      <c r="C59" s="9"/>
      <c r="D59" s="8">
        <v>3.0</v>
      </c>
      <c r="E59" s="8">
        <v>10.0</v>
      </c>
      <c r="F59" s="9"/>
      <c r="G59" s="8">
        <v>6.0</v>
      </c>
      <c r="H59" s="8">
        <v>6.0</v>
      </c>
      <c r="I59" s="10">
        <f t="shared" si="30"/>
        <v>25</v>
      </c>
      <c r="J59" s="11">
        <f t="shared" si="31"/>
        <v>156500</v>
      </c>
    </row>
    <row r="60" ht="15.75" customHeight="1">
      <c r="A60" s="6" t="s">
        <v>92</v>
      </c>
      <c r="B60" s="7">
        <v>2.0</v>
      </c>
      <c r="C60" s="9"/>
      <c r="D60" s="9"/>
      <c r="E60" s="8">
        <v>6.0</v>
      </c>
      <c r="F60" s="9"/>
      <c r="G60" s="8">
        <v>2.0</v>
      </c>
      <c r="H60" s="8">
        <v>2.0</v>
      </c>
      <c r="I60" s="10">
        <f t="shared" si="30"/>
        <v>10</v>
      </c>
      <c r="J60" s="11">
        <f t="shared" si="31"/>
        <v>62000</v>
      </c>
    </row>
    <row r="61" ht="15.75" customHeight="1">
      <c r="A61" s="17" t="s">
        <v>93</v>
      </c>
      <c r="B61" s="18"/>
      <c r="C61" s="18"/>
      <c r="D61" s="18"/>
      <c r="E61" s="18"/>
      <c r="F61" s="18"/>
      <c r="G61" s="18"/>
      <c r="H61" s="18"/>
      <c r="I61" s="19">
        <f t="shared" ref="I61:J61" si="32">SUM(I62:I63)</f>
        <v>47</v>
      </c>
      <c r="J61" s="20">
        <f t="shared" si="32"/>
        <v>331500</v>
      </c>
    </row>
    <row r="62" ht="15.75" customHeight="1">
      <c r="A62" s="6" t="s">
        <v>94</v>
      </c>
      <c r="B62" s="7">
        <v>6.0</v>
      </c>
      <c r="C62" s="8">
        <v>12.0</v>
      </c>
      <c r="D62" s="8">
        <v>6.0</v>
      </c>
      <c r="E62" s="8">
        <v>6.0</v>
      </c>
      <c r="F62" s="9"/>
      <c r="G62" s="9"/>
      <c r="H62" s="8">
        <v>6.0</v>
      </c>
      <c r="I62" s="10">
        <f t="shared" ref="I62:I63" si="33">SUM(C62:H62)</f>
        <v>30</v>
      </c>
      <c r="J62" s="11">
        <f t="shared" ref="J62:J63" si="34">C62*$O$6+D62*$O$7+E62*$O$8+F62*$O$9+G62*$O$10+H62*$O$11</f>
        <v>222000</v>
      </c>
    </row>
    <row r="63" ht="15.75" customHeight="1">
      <c r="A63" s="6" t="s">
        <v>95</v>
      </c>
      <c r="B63" s="7">
        <v>3.0</v>
      </c>
      <c r="C63" s="8">
        <v>1.0</v>
      </c>
      <c r="D63" s="8">
        <v>2.0</v>
      </c>
      <c r="E63" s="8">
        <v>6.0</v>
      </c>
      <c r="F63" s="8">
        <v>2.0</v>
      </c>
      <c r="G63" s="8">
        <v>4.0</v>
      </c>
      <c r="H63" s="8">
        <v>2.0</v>
      </c>
      <c r="I63" s="10">
        <f t="shared" si="33"/>
        <v>17</v>
      </c>
      <c r="J63" s="11">
        <f t="shared" si="34"/>
        <v>109500</v>
      </c>
    </row>
    <row r="64" ht="15.75" customHeight="1"/>
    <row r="65" ht="15.75" customHeight="1">
      <c r="A65" s="4" t="s">
        <v>42</v>
      </c>
      <c r="B65" s="5" t="s">
        <v>6</v>
      </c>
      <c r="C65" s="5" t="s">
        <v>7</v>
      </c>
      <c r="D65" s="5" t="s">
        <v>8</v>
      </c>
      <c r="E65" s="5" t="s">
        <v>9</v>
      </c>
      <c r="F65" s="5" t="s">
        <v>10</v>
      </c>
      <c r="G65" s="5" t="s">
        <v>11</v>
      </c>
      <c r="H65" s="5" t="s">
        <v>12</v>
      </c>
      <c r="I65" s="5" t="s">
        <v>13</v>
      </c>
      <c r="J65" s="5" t="s">
        <v>14</v>
      </c>
    </row>
    <row r="66" ht="15.75" customHeight="1">
      <c r="A66" s="6" t="s">
        <v>96</v>
      </c>
      <c r="B66" s="7">
        <v>2.0</v>
      </c>
      <c r="C66" s="9"/>
      <c r="D66" s="9"/>
      <c r="E66" s="8">
        <v>4.0</v>
      </c>
      <c r="F66" s="8">
        <v>1.0</v>
      </c>
      <c r="G66" s="8">
        <v>8.0</v>
      </c>
      <c r="H66" s="9"/>
      <c r="I66" s="10">
        <f t="shared" ref="I66:I75" si="35">SUM(C66:H66)</f>
        <v>13</v>
      </c>
      <c r="J66" s="11">
        <f t="shared" ref="J66:J75" si="36">C66*$O$6+D66*$O$7+E66*$O$8+F66*$O$9+G66*$O$10+H66*$O$11</f>
        <v>76500</v>
      </c>
    </row>
    <row r="67" ht="15.75" customHeight="1">
      <c r="A67" s="6" t="s">
        <v>97</v>
      </c>
      <c r="B67" s="7">
        <v>2.0</v>
      </c>
      <c r="C67" s="9"/>
      <c r="D67" s="8">
        <v>2.0</v>
      </c>
      <c r="E67" s="8">
        <v>2.0</v>
      </c>
      <c r="F67" s="9"/>
      <c r="G67" s="8">
        <v>8.0</v>
      </c>
      <c r="H67" s="8">
        <v>4.0</v>
      </c>
      <c r="I67" s="10">
        <f t="shared" si="35"/>
        <v>16</v>
      </c>
      <c r="J67" s="11">
        <f t="shared" si="36"/>
        <v>96000</v>
      </c>
    </row>
    <row r="68" ht="15.75" customHeight="1">
      <c r="A68" s="6" t="s">
        <v>98</v>
      </c>
      <c r="B68" s="7">
        <v>2.0</v>
      </c>
      <c r="C68" s="9"/>
      <c r="D68" s="9"/>
      <c r="E68" s="8">
        <v>4.0</v>
      </c>
      <c r="F68" s="9"/>
      <c r="G68" s="9"/>
      <c r="H68" s="8">
        <v>4.0</v>
      </c>
      <c r="I68" s="10">
        <f t="shared" si="35"/>
        <v>8</v>
      </c>
      <c r="J68" s="11">
        <f t="shared" si="36"/>
        <v>50000</v>
      </c>
    </row>
    <row r="69" ht="15.75" customHeight="1">
      <c r="A69" s="6" t="s">
        <v>99</v>
      </c>
      <c r="B69" s="7">
        <v>2.0</v>
      </c>
      <c r="C69" s="9"/>
      <c r="D69" s="8">
        <v>3.0</v>
      </c>
      <c r="E69" s="8">
        <v>4.0</v>
      </c>
      <c r="F69" s="8">
        <v>4.0</v>
      </c>
      <c r="G69" s="8">
        <v>2.0</v>
      </c>
      <c r="H69" s="8">
        <v>2.0</v>
      </c>
      <c r="I69" s="10">
        <f t="shared" si="35"/>
        <v>15</v>
      </c>
      <c r="J69" s="11">
        <f t="shared" si="36"/>
        <v>97500</v>
      </c>
    </row>
    <row r="70" ht="15.75" customHeight="1">
      <c r="A70" s="6" t="s">
        <v>100</v>
      </c>
      <c r="B70" s="7">
        <v>1.0</v>
      </c>
      <c r="C70" s="9"/>
      <c r="D70" s="9"/>
      <c r="E70" s="8">
        <v>2.0</v>
      </c>
      <c r="F70" s="8">
        <v>3.0</v>
      </c>
      <c r="G70" s="9"/>
      <c r="H70" s="9"/>
      <c r="I70" s="10">
        <f t="shared" si="35"/>
        <v>5</v>
      </c>
      <c r="J70" s="11">
        <f t="shared" si="36"/>
        <v>32500</v>
      </c>
    </row>
    <row r="71" ht="15.75" customHeight="1">
      <c r="A71" s="6" t="s">
        <v>101</v>
      </c>
      <c r="B71" s="7">
        <v>1.0</v>
      </c>
      <c r="C71" s="8">
        <v>1.0</v>
      </c>
      <c r="D71" s="9"/>
      <c r="E71" s="8">
        <v>4.0</v>
      </c>
      <c r="F71" s="8">
        <v>2.0</v>
      </c>
      <c r="G71" s="8">
        <v>2.0</v>
      </c>
      <c r="H71" s="9"/>
      <c r="I71" s="10">
        <f t="shared" si="35"/>
        <v>9</v>
      </c>
      <c r="J71" s="11">
        <f t="shared" si="36"/>
        <v>58500</v>
      </c>
    </row>
    <row r="72" ht="15.75" customHeight="1">
      <c r="A72" s="6" t="s">
        <v>102</v>
      </c>
      <c r="B72" s="7">
        <v>5.0</v>
      </c>
      <c r="C72" s="8">
        <v>2.0</v>
      </c>
      <c r="D72" s="8">
        <v>2.0</v>
      </c>
      <c r="E72" s="8">
        <v>2.0</v>
      </c>
      <c r="F72" s="9"/>
      <c r="G72" s="8">
        <v>6.0</v>
      </c>
      <c r="H72" s="9"/>
      <c r="I72" s="10">
        <f t="shared" si="35"/>
        <v>12</v>
      </c>
      <c r="J72" s="11">
        <f t="shared" si="36"/>
        <v>78000</v>
      </c>
    </row>
    <row r="73" ht="15.75" customHeight="1">
      <c r="A73" s="6" t="s">
        <v>103</v>
      </c>
      <c r="B73" s="7">
        <v>1.0</v>
      </c>
      <c r="C73" s="8">
        <v>1.0</v>
      </c>
      <c r="D73" s="8">
        <v>4.0</v>
      </c>
      <c r="E73" s="9"/>
      <c r="F73" s="9"/>
      <c r="G73" s="9"/>
      <c r="H73" s="8">
        <v>2.0</v>
      </c>
      <c r="I73" s="10">
        <f t="shared" si="35"/>
        <v>7</v>
      </c>
      <c r="J73" s="11">
        <f t="shared" si="36"/>
        <v>50500</v>
      </c>
    </row>
    <row r="74" ht="15.75" customHeight="1">
      <c r="A74" s="6" t="s">
        <v>104</v>
      </c>
      <c r="B74" s="7">
        <v>3.0</v>
      </c>
      <c r="C74" s="8">
        <v>8.0</v>
      </c>
      <c r="D74" s="8">
        <v>4.0</v>
      </c>
      <c r="E74" s="8">
        <v>2.0</v>
      </c>
      <c r="F74" s="9"/>
      <c r="G74" s="9"/>
      <c r="H74" s="8">
        <v>2.0</v>
      </c>
      <c r="I74" s="10">
        <f t="shared" si="35"/>
        <v>16</v>
      </c>
      <c r="J74" s="11">
        <f t="shared" si="36"/>
        <v>123000</v>
      </c>
    </row>
    <row r="75" ht="15.75" customHeight="1">
      <c r="A75" s="6" t="s">
        <v>105</v>
      </c>
      <c r="B75" s="7">
        <v>0.5</v>
      </c>
      <c r="C75" s="8">
        <v>2.0</v>
      </c>
      <c r="D75" s="8">
        <v>1.0</v>
      </c>
      <c r="E75" s="9"/>
      <c r="F75" s="9"/>
      <c r="G75" s="9"/>
      <c r="H75" s="9"/>
      <c r="I75" s="10">
        <f t="shared" si="35"/>
        <v>3</v>
      </c>
      <c r="J75" s="11">
        <f t="shared" si="36"/>
        <v>24500</v>
      </c>
    </row>
    <row r="76" ht="15.75" customHeight="1"/>
    <row r="77" ht="15.75" customHeight="1">
      <c r="A77" s="5" t="s">
        <v>106</v>
      </c>
      <c r="B77" s="5" t="s">
        <v>6</v>
      </c>
      <c r="C77" s="5" t="s">
        <v>7</v>
      </c>
      <c r="D77" s="5" t="s">
        <v>8</v>
      </c>
      <c r="E77" s="5" t="s">
        <v>9</v>
      </c>
      <c r="F77" s="5" t="s">
        <v>10</v>
      </c>
      <c r="G77" s="5" t="s">
        <v>11</v>
      </c>
      <c r="H77" s="5" t="s">
        <v>12</v>
      </c>
      <c r="I77" s="5" t="s">
        <v>13</v>
      </c>
      <c r="J77" s="5" t="s">
        <v>14</v>
      </c>
    </row>
    <row r="78" ht="15.75" customHeight="1">
      <c r="A78" s="23" t="s">
        <v>107</v>
      </c>
      <c r="B78" s="24">
        <f t="shared" ref="B78:H78" si="37">SUM(B6:B12)+SUM(B15:B19)+SUM(B22:B63)+SUM(B66:B75)</f>
        <v>101</v>
      </c>
      <c r="C78" s="25">
        <f t="shared" si="37"/>
        <v>51</v>
      </c>
      <c r="D78" s="25">
        <f t="shared" si="37"/>
        <v>83</v>
      </c>
      <c r="E78" s="25">
        <f t="shared" si="37"/>
        <v>179</v>
      </c>
      <c r="F78" s="25">
        <f t="shared" si="37"/>
        <v>39</v>
      </c>
      <c r="G78" s="25">
        <f t="shared" si="37"/>
        <v>83</v>
      </c>
      <c r="H78" s="25">
        <f t="shared" si="37"/>
        <v>128</v>
      </c>
      <c r="I78" s="25">
        <f>SUM(C78:H78)</f>
        <v>563</v>
      </c>
      <c r="J78" s="26">
        <f>C78*$O$6+D78*$O$7+E78*$O$8+F78*$O$9+G78*$O$10+H78*$O$11</f>
        <v>3697500</v>
      </c>
    </row>
    <row r="79" ht="15.75" customHeight="1"/>
    <row r="80" ht="15.75" customHeight="1">
      <c r="A80" s="27" t="s">
        <v>108</v>
      </c>
    </row>
    <row r="81" ht="15.75" customHeight="1">
      <c r="A81" s="28" t="s">
        <v>109</v>
      </c>
    </row>
    <row r="82" ht="15.75" customHeight="1">
      <c r="A82" s="28" t="s">
        <v>110</v>
      </c>
    </row>
    <row r="83" ht="15.75" customHeight="1">
      <c r="A83" s="28" t="s">
        <v>111</v>
      </c>
    </row>
    <row r="84" ht="15.75" customHeight="1">
      <c r="A84" s="28" t="s">
        <v>112</v>
      </c>
    </row>
    <row r="85" ht="15.75" customHeight="1">
      <c r="A85" s="28" t="s">
        <v>113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2026-10-12T15:47:01Z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