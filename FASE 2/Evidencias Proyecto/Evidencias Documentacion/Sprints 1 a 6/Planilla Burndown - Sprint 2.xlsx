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2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<sst xmlns="http://schemas.openxmlformats.org/spreadsheetml/2006/main" count="17" uniqueCount="17">
  <si>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Control del Sprint</t>
  </si>
  <si>
    <t xml:space="preserve">Sprint 2 - Autenticación y Roles (Sinergi)</t>
  </si>
  <si>
    <t xml:space="preserve">08/09/2026 al 19/09/2026  |  Estado: Finalizado  |  Días registrados: 10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</si>
  <si>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</si>
  <si>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</si>
  <si>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</si>
  <si>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</si>
  <si>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SNG-EP02-01 Login de cliente</t>
  </si>
  <si>
    <t xml:space="preserve">SNG-EP03-05 Gestión de usuarios (admin)</t>
  </si>
  <si>
    <t xml:space="preserve">SNG-EP05-01 Bloqueo por intentos fallidos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</si>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</sst>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2 - Autenticación y Roles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2 - Sinergi'!B11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2 - Sinergi'!$A$12:$A$22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2 - Sinergi'!$B$12:$B$22</c:f>
              <c:numCache>
                <c:formatCode>0.0</c:formatCode>
                <c:ptCount val="11"/>
                <c:pt idx="0">
                  <c:v>39</c:v>
                </c:pt>
                <c:pt idx="1">
                  <c:v>35.1</c:v>
                </c:pt>
                <c:pt idx="2">
                  <c:v>31.2</c:v>
                </c:pt>
                <c:pt idx="3">
                  <c:v>27.3</c:v>
                </c:pt>
                <c:pt idx="4">
                  <c:v>23.4</c:v>
                </c:pt>
                <c:pt idx="5">
                  <c:v>19.5</c:v>
                </c:pt>
                <c:pt idx="6">
                  <c:v>15.6</c:v>
                </c:pt>
                <c:pt idx="7">
                  <c:v>11.7</c:v>
                </c:pt>
                <c:pt idx="8">
                  <c:v>7.8</c:v>
                </c:pt>
                <c:pt idx="9">
                  <c:v>3.9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2 - Sinergi'!C11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2 - Sinergi'!$A$12:$A$22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2 - Sinergi'!$C$12:$C$22</c:f>
              <c:numCache>
                <c:formatCode>0.0</c:formatCode>
                <c:ptCount val="11"/>
                <c:pt idx="0">
                  <c:v>39</c:v>
                </c:pt>
                <c:pt idx="1">
                  <c:v>31</c:v>
                </c:pt>
                <c:pt idx="2">
                  <c:v>24</c:v>
                </c:pt>
                <c:pt idx="3">
                  <c:v>13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344267"/>
        <c:axId val="7064128"/>
      </c:lineChart>
      <c:catAx>
        <c:axId val="78344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4128"/>
        <c:crosses val="autoZero"/>
        <c:auto val="1"/>
        <c:lblAlgn val="ctr"/>
        <c:lblOffset val="100"/>
        <c:noMultiLvlLbl val="0"/>
      </c:catAx>
      <c:valAx>
        <c:axId val="7064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44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160920</xdr:rowOff>
    </xdr:from>
    <xdr:to>
      <xdr:col>17</xdr:col>
      <xdr:colOff>227160</xdr:colOff>
      <xdr:row>25</xdr:row>
      <xdr:rowOff>68760</xdr:rowOff>
    </xdr:to>
    <xdr:graphicFrame>
      <xdr:nvGraphicFramePr>
        <xdr:cNvPr id="0" name="Chart 1"/>
        <xdr:cNvGraphicFramePr/>
      </xdr:nvGraphicFramePr>
      <xdr:xfrm>
        <a:off x="5638680" y="1714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16</v>
      </c>
      <c r="C5" s="6" t="n">
        <v>4</v>
      </c>
      <c r="D5" s="6" t="n">
        <v>7</v>
      </c>
      <c r="E5" s="6" t="n">
        <v>5</v>
      </c>
      <c r="F5" s="7"/>
      <c r="G5" s="7"/>
      <c r="H5" s="7"/>
      <c r="I5" s="7"/>
      <c r="J5" s="7"/>
      <c r="K5" s="7"/>
      <c r="L5" s="7"/>
      <c r="M5" s="8" t="n">
        <f aca="false">SUM(C5:L5)</f>
        <v>16</v>
      </c>
    </row>
    <row r="6" customFormat="false" ht="15" hidden="false" customHeight="false" outlineLevel="0" collapsed="false">
      <c r="A6" s="5" t="s">
        <v>8</v>
      </c>
      <c r="B6" s="6" t="n">
        <v>14</v>
      </c>
      <c r="C6" s="6" t="n">
        <v>4</v>
      </c>
      <c r="D6" s="7"/>
      <c r="E6" s="6" t="n">
        <v>6</v>
      </c>
      <c r="F6" s="6" t="n">
        <v>2</v>
      </c>
      <c r="G6" s="6" t="n">
        <v>2</v>
      </c>
      <c r="H6" s="7"/>
      <c r="I6" s="7"/>
      <c r="J6" s="7"/>
      <c r="K6" s="7"/>
      <c r="L6" s="7"/>
      <c r="M6" s="8" t="n">
        <f aca="false">SUM(C6:L6)</f>
        <v>14</v>
      </c>
    </row>
    <row r="7" customFormat="false" ht="15" hidden="false" customHeight="false" outlineLevel="0" collapsed="false">
      <c r="A7" s="5" t="s">
        <v>9</v>
      </c>
      <c r="B7" s="6" t="n">
        <v>9</v>
      </c>
      <c r="C7" s="7"/>
      <c r="D7" s="7"/>
      <c r="E7" s="7"/>
      <c r="F7" s="6" t="n">
        <v>5</v>
      </c>
      <c r="G7" s="6" t="n">
        <v>4</v>
      </c>
      <c r="H7" s="7"/>
      <c r="I7" s="7"/>
      <c r="J7" s="7"/>
      <c r="K7" s="7"/>
      <c r="L7" s="7"/>
      <c r="M7" s="8" t="n">
        <f aca="false">SUM(C7:L7)</f>
        <v>9</v>
      </c>
    </row>
    <row r="8" customFormat="false" ht="15" hidden="false" customHeight="false" outlineLevel="0" collapsed="false">
      <c r="A8" s="9" t="s">
        <v>10</v>
      </c>
      <c r="B8" s="10" t="n">
        <f aca="false">SUM(B5:B7)</f>
        <v>39</v>
      </c>
      <c r="C8" s="10" t="n">
        <f aca="false">SUM(C5:C7)</f>
        <v>8</v>
      </c>
      <c r="D8" s="10" t="n">
        <f aca="false">SUM(D5:D7)</f>
        <v>7</v>
      </c>
      <c r="E8" s="10" t="n">
        <f aca="false">SUM(E5:E7)</f>
        <v>11</v>
      </c>
      <c r="F8" s="10" t="n">
        <f aca="false">SUM(F5:F7)</f>
        <v>7</v>
      </c>
      <c r="G8" s="10" t="n">
        <f aca="false">SUM(G5:G7)</f>
        <v>6</v>
      </c>
      <c r="H8" s="10" t="n">
        <f aca="false">SUM(H5:H7)</f>
        <v>0</v>
      </c>
      <c r="I8" s="10" t="n">
        <f aca="false">SUM(I5:I7)</f>
        <v>0</v>
      </c>
      <c r="J8" s="10" t="n">
        <f aca="false">SUM(J5:J7)</f>
        <v>0</v>
      </c>
      <c r="K8" s="10" t="n">
        <f aca="false">SUM(K5:K7)</f>
        <v>0</v>
      </c>
      <c r="L8" s="10" t="n">
        <f aca="false">SUM(L5:L7)</f>
        <v>0</v>
      </c>
      <c r="M8" s="10" t="n">
        <f aca="false">SUM(M5:M7)</f>
        <v>39</v>
      </c>
    </row>
    <row r="10" customFormat="false" ht="15" hidden="false" customHeight="false" outlineLevel="0" collapsed="false">
      <c r="A10" s="11" t="s">
        <v>11</v>
      </c>
    </row>
    <row r="11" customFormat="false" ht="22.35" hidden="false" customHeight="false" outlineLevel="0" collapsed="false">
      <c r="A11" s="4" t="s">
        <v>12</v>
      </c>
      <c r="B11" s="4" t="s">
        <v>13</v>
      </c>
      <c r="C11" s="4" t="s">
        <v>14</v>
      </c>
    </row>
    <row r="12" customFormat="false" ht="15" hidden="false" customHeight="false" outlineLevel="0" collapsed="false">
      <c r="A12" s="8" t="n">
        <v>0</v>
      </c>
      <c r="B12" s="12" t="n">
        <f aca="false">$B$8-$B$8/10*A12</f>
        <v>39</v>
      </c>
      <c r="C12" s="12" t="n">
        <f aca="false">$B$8</f>
        <v>39</v>
      </c>
    </row>
    <row r="13" customFormat="false" ht="15" hidden="false" customHeight="false" outlineLevel="0" collapsed="false">
      <c r="A13" s="8" t="n">
        <v>1</v>
      </c>
      <c r="B13" s="12" t="n">
        <f aca="false">$B$8-$B$8/10*A13</f>
        <v>35.1</v>
      </c>
      <c r="C13" s="12" t="n">
        <f aca="false">C12-C8</f>
        <v>31</v>
      </c>
    </row>
    <row r="14" customFormat="false" ht="15" hidden="false" customHeight="false" outlineLevel="0" collapsed="false">
      <c r="A14" s="8" t="n">
        <v>2</v>
      </c>
      <c r="B14" s="12" t="n">
        <f aca="false">$B$8-$B$8/10*A14</f>
        <v>31.2</v>
      </c>
      <c r="C14" s="12" t="n">
        <f aca="false">C13-D8</f>
        <v>24</v>
      </c>
    </row>
    <row r="15" customFormat="false" ht="15" hidden="false" customHeight="false" outlineLevel="0" collapsed="false">
      <c r="A15" s="8" t="n">
        <v>3</v>
      </c>
      <c r="B15" s="12" t="n">
        <f aca="false">$B$8-$B$8/10*A15</f>
        <v>27.3</v>
      </c>
      <c r="C15" s="12" t="n">
        <f aca="false">C14-E8</f>
        <v>13</v>
      </c>
    </row>
    <row r="16" customFormat="false" ht="15" hidden="false" customHeight="false" outlineLevel="0" collapsed="false">
      <c r="A16" s="8" t="n">
        <v>4</v>
      </c>
      <c r="B16" s="12" t="n">
        <f aca="false">$B$8-$B$8/10*A16</f>
        <v>23.4</v>
      </c>
      <c r="C16" s="12" t="n">
        <f aca="false">C15-F8</f>
        <v>6</v>
      </c>
    </row>
    <row r="17" customFormat="false" ht="15" hidden="false" customHeight="false" outlineLevel="0" collapsed="false">
      <c r="A17" s="8" t="n">
        <v>5</v>
      </c>
      <c r="B17" s="12" t="n">
        <f aca="false">$B$8-$B$8/10*A17</f>
        <v>19.5</v>
      </c>
      <c r="C17" s="12" t="n">
        <f aca="false">C16-G8</f>
        <v>0</v>
      </c>
    </row>
    <row r="18" customFormat="false" ht="15" hidden="false" customHeight="false" outlineLevel="0" collapsed="false">
      <c r="A18" s="8" t="n">
        <v>6</v>
      </c>
      <c r="B18" s="12" t="n">
        <f aca="false">$B$8-$B$8/10*A18</f>
        <v>15.6</v>
      </c>
      <c r="C18" s="12" t="n">
        <f aca="false">C17-H8</f>
        <v>0</v>
      </c>
    </row>
    <row r="19" customFormat="false" ht="15" hidden="false" customHeight="false" outlineLevel="0" collapsed="false">
      <c r="A19" s="8" t="n">
        <v>7</v>
      </c>
      <c r="B19" s="12" t="n">
        <f aca="false">$B$8-$B$8/10*A19</f>
        <v>11.7</v>
      </c>
      <c r="C19" s="12" t="n">
        <f aca="false">C18-I8</f>
        <v>0</v>
      </c>
    </row>
    <row r="20" customFormat="false" ht="15" hidden="false" customHeight="false" outlineLevel="0" collapsed="false">
      <c r="A20" s="8" t="n">
        <v>8</v>
      </c>
      <c r="B20" s="12" t="n">
        <f aca="false">$B$8-$B$8/10*A20</f>
        <v>7.8</v>
      </c>
      <c r="C20" s="12" t="n">
        <f aca="false">C19-J8</f>
        <v>0</v>
      </c>
    </row>
    <row r="21" customFormat="false" ht="15" hidden="false" customHeight="false" outlineLevel="0" collapsed="false">
      <c r="A21" s="8" t="n">
        <v>9</v>
      </c>
      <c r="B21" s="12" t="n">
        <f aca="false">$B$8-$B$8/10*A21</f>
        <v>3.9</v>
      </c>
      <c r="C21" s="12" t="n">
        <f aca="false">C20-K8</f>
        <v>0</v>
      </c>
    </row>
    <row r="22" customFormat="false" ht="15" hidden="false" customHeight="false" outlineLevel="0" collapsed="false">
      <c r="A22" s="8" t="n">
        <v>10</v>
      </c>
      <c r="B22" s="12" t="n">
        <f aca="false">$B$8-$B$8/10*A22</f>
        <v>0</v>
      </c>
      <c r="C22" s="12" t="n">
        <f aca="false">C21-L8</f>
        <v>0</v>
      </c>
    </row>
    <row r="24" customFormat="false" ht="15" hidden="false" customHeight="false" outlineLevel="0" collapsed="false">
      <c r="A24" s="13" t="s">
        <v>15</v>
      </c>
    </row>
    <row r="25" customFormat="false" ht="15" hidden="false" customHeight="false" outlineLevel="0" collapsed="false">
      <c r="A25" s="13" t="s">
        <v>16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