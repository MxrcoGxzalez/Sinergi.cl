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3 - Gestión Proye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<sst xmlns="http://schemas.openxmlformats.org/spreadsheetml/2006/main" count="144" uniqueCount="72">
  <si>
    <t xml:space="preserve">Metodologías ágiles: Lista de tareas de la iteración</t>
  </si>
  <si>
    <t xml:space="preserve">(Sprint Backlog) — Sprint 3 - Proyectos, documentos y verificación  |  22/09/2026 al 03/10/2026  |  Estado: Finalizado</t>
  </si>
  <si>
    <t xml:space="preserve">Elaborado por: pmoinformatica.com — Proyecto Plataforma Web Integral Sinergi</t>
  </si>
  <si>
    <t xml:space="preserve">Identificador (ID) de item de product backlog</t>
  </si>
  <si>
    <t xml:space="preserve">Enunciado del item de Product Backlog</t>
  </si>
  <si>
    <t xml:space="preserve">Tarea</t>
  </si>
  <si>
    <t xml:space="preserve">Dueño / Voluntario</t>
  </si>
  <si>
    <t xml:space="preserve">Estatus</t>
  </si>
  <si>
    <t xml:space="preserve">Horas estimadas totales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</si>
  <si>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</si>
  <si>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</si>
  <si>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</si>
  <si>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</si>
  <si>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</si>
  <si>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Día 6</t>
  </si>
  <si>
    <t xml:space="preserve">Día 7</t>
  </si>
  <si>
    <t xml:space="preserve">Día 8</t>
  </si>
  <si>
    <t xml:space="preserve">Día 9</t>
  </si>
  <si>
    <t xml:space="preserve">Día 10</t>
  </si>
  <si>
    <t xml:space="preserve">Total</t>
  </si>
  <si>
    <t xml:space="preserve">Cons.</t>
  </si>
  <si>
    <t xml:space="preserve">Rest.</t>
  </si>
  <si>
    <t xml:space="preserve">SNG-EP02-02</t>
  </si>
  <si>
    <t xml:space="preserve">Como un cliente, necesito crear una tarjeta de proyecto con nombre, tipo, descripción y documentación asociada, con la finalidad de iniciar el proceso de verificación de mi proyecto</t>
  </si>
  <si>
    <t xml:space="preserve">Modelado de entidades Proyecto y Documento con sus estados</t>
  </si>
  <si>
    <t xml:space="preserve">Marco Gonzalez</t>
  </si>
  <si>
    <t xml:space="preserve">Completado</t>
  </si>
  <si>
    <t xml:space="preserve">Maquetación del formulario de tarjeta de proyecto y listado del cliente</t>
  </si>
  <si>
    <t xml:space="preserve">Simon Benavente</t>
  </si>
  <si>
    <t xml:space="preserve">Codificación de creación de tarjeta con carga de documentos a /media/ y aviso al empleado (signal → Celery → Brevo)</t>
  </si>
  <si>
    <t xml:space="preserve">Bruno Zuñiga</t>
  </si>
  <si>
    <t xml:space="preserve">Pruebas de creación exitosa, carga parcial y aviso a la empresa</t>
  </si>
  <si>
    <t xml:space="preserve">SNG-EP05-02</t>
  </si>
  <si>
    <t xml:space="preserve">Como un administrador, necesito que los archivos subidos por los clientes sean validados en tipo y tamaño antes de almacenarse, con la finalidad de evitar archivos inválidos en el sistema</t>
  </si>
  <si>
    <t xml:space="preserve">Validación del tipo MIME real (python-magic) y lista negra de extensiones</t>
  </si>
  <si>
    <t xml:space="preserve">Límite de tamaño máximo por archivo previo al escaneo</t>
  </si>
  <si>
    <t xml:space="preserve">Integración de ClamAV en Docker Compose y escaneo en segundo plano con Celery</t>
  </si>
  <si>
    <t xml:space="preserve">Pruebas con archivos válidos, inválidos, sobredimensionados y archivo de prueba EICAR</t>
  </si>
  <si>
    <t xml:space="preserve">SNG-EP02-05</t>
  </si>
  <si>
    <t xml:space="preserve">Como un cliente, necesito descargar los documentos de mi proyecto en su formato original o en PDF, con la finalidad de conservar un respaldo de mi documentación</t>
  </si>
  <si>
    <t xml:space="preserve">Endpoint de descarga protegido por propietario del proyecto</t>
  </si>
  <si>
    <t xml:space="preserve">Conversión a PDF en segundo plano (Celery) y manejo de formatos sin conversión</t>
  </si>
  <si>
    <t xml:space="preserve">Descarga masiva de documentación en .ZIP vía tarea Celery</t>
  </si>
  <si>
    <t xml:space="preserve">Pruebas de descarga original, PDF, ZIP y control de acceso</t>
  </si>
  <si>
    <t xml:space="preserve">SNG-EP03-01</t>
  </si>
  <si>
    <t xml:space="preserve">Como un empleado de la empresa, necesito revisar la documentación de un proyecto entrante, con la finalidad de aprobarlo o solicitar correcciones al cliente</t>
  </si>
  <si>
    <t xml:space="preserve">Vista de proyectos entrantes pendientes de verificación</t>
  </si>
  <si>
    <t xml:space="preserve">Lógica de aprobar / solicitar corrección / rechazar con motivo obligatorio</t>
  </si>
  <si>
    <t xml:space="preserve">Registro del motivo y del historial de cambios de estado del proyecto</t>
  </si>
  <si>
    <t xml:space="preserve">Pruebas de los escenarios de aprobación, corrección y rechazo definitivo</t>
  </si>
  <si>
    <t xml:space="preserve">SNG-EP03-02</t>
  </si>
  <si>
    <t xml:space="preserve">Como un empleado de la empresa, necesito construir un diagrama de hitos o etapas para un proyecto ya verificado, con la finalidad de reflejar el plan de trabajo real del proyecto</t>
  </si>
  <si>
    <t xml:space="preserve">Modelado de Hito (orden, estado, fechas) asociado a proyecto aprobado</t>
  </si>
  <si>
    <t xml:space="preserve">Constructor de diagrama de hitos (crear, editar y reordenar) en el panel empresa</t>
  </si>
  <si>
    <t xml:space="preserve">Endpoints DRF de hitos con validación de estado "aprobado"</t>
  </si>
  <si>
    <t xml:space="preserve">Pruebas de creación y modificación del desglose de hitos</t>
  </si>
  <si>
    <t xml:space="preserve">SNG-EP03-03</t>
  </si>
  <si>
    <t xml:space="preserve">Como un empleado de la empresa, necesito actualizar el avance de los hitos de un proyecto, con la finalidad de que el cliente vea el estado real y actualizado</t>
  </si>
  <si>
    <t xml:space="preserve">Acción de cambio de estado de hito (pendiente / en ejecución / completado)</t>
  </si>
  <si>
    <t xml:space="preserve">Vista de actualización de avance en el panel empresa</t>
  </si>
  <si>
    <t xml:space="preserve">Signal de hito completado preparado para la notificación por correo</t>
  </si>
  <si>
    <t xml:space="preserve">Pruebas de transición de estados de hitos</t>
  </si>
  <si>
    <t xml:space="preserve">SNG-EP02-03</t>
  </si>
  <si>
    <t xml:space="preserve">Como un cliente, necesito visualizar el estado y avance de hitos de mis proyectos, actualizado automáticamente, con la finalidad de conocer el progreso sin depender de llamadas o correos</t>
  </si>
  <si>
    <t xml:space="preserve">Endpoint DRF de estado y avance por proyecto con aislamiento por cliente</t>
  </si>
  <si>
    <t xml:space="preserve">Vista de avance del proyecto con diagrama de hitos en el portal cliente</t>
  </si>
  <si>
    <t xml:space="preserve">Actualización periódica vía fetch() cada 2-3 segundos (polling)</t>
  </si>
  <si>
    <t xml:space="preserve">Pruebas multiproyecto, proyecto sin desglose y tiempo de refresco</t>
  </si>
  <si>
    <t xml:space="preserve">Total del Sprint</t>
  </si>
  <si>
    <t xml:space="preserve">Leyenda: los números en azul son datos ingresados (horas estimadas y horas consumidas por día); las celdas en negro son fórmulas.</t>
  </si>
  <si>
    <t xml:space="preserve">Cons. = horas consumidas ese día. Rest. = horas restantes de la tarea (se calcula sola: restante del día anterior − consumido del día).</t>
  </si>
  <si>
    <t xml:space="preserve">Duración del sprint: 2 semanas = 10 días hábiles. Días registrados a la fecha: 10 de 10.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</si>
</sst>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29" min="8" style="0" width="6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tru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 t="s">
        <v>10</v>
      </c>
      <c r="K4" s="4"/>
      <c r="L4" s="4" t="s">
        <v>11</v>
      </c>
      <c r="M4" s="4"/>
      <c r="N4" s="4" t="s">
        <v>12</v>
      </c>
      <c r="O4" s="4"/>
      <c r="P4" s="4" t="s">
        <v>13</v>
      </c>
      <c r="Q4" s="4"/>
      <c r="R4" s="4" t="s">
        <v>14</v>
      </c>
      <c r="S4" s="4"/>
      <c r="T4" s="4" t="s">
        <v>15</v>
      </c>
      <c r="U4" s="4"/>
      <c r="V4" s="4" t="s">
        <v>16</v>
      </c>
      <c r="W4" s="4"/>
      <c r="X4" s="4" t="s">
        <v>17</v>
      </c>
      <c r="Y4" s="4"/>
      <c r="Z4" s="4" t="s">
        <v>18</v>
      </c>
      <c r="AA4" s="4"/>
      <c r="AB4" s="4" t="s">
        <v>19</v>
      </c>
      <c r="AC4" s="4"/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5" t="s">
        <v>20</v>
      </c>
      <c r="I5" s="5" t="s">
        <v>21</v>
      </c>
      <c r="J5" s="5" t="s">
        <v>20</v>
      </c>
      <c r="K5" s="5" t="s">
        <v>21</v>
      </c>
      <c r="L5" s="5" t="s">
        <v>20</v>
      </c>
      <c r="M5" s="5" t="s">
        <v>21</v>
      </c>
      <c r="N5" s="5" t="s">
        <v>20</v>
      </c>
      <c r="O5" s="5" t="s">
        <v>21</v>
      </c>
      <c r="P5" s="5" t="s">
        <v>20</v>
      </c>
      <c r="Q5" s="5" t="s">
        <v>21</v>
      </c>
      <c r="R5" s="5" t="s">
        <v>20</v>
      </c>
      <c r="S5" s="5" t="s">
        <v>21</v>
      </c>
      <c r="T5" s="5" t="s">
        <v>20</v>
      </c>
      <c r="U5" s="5" t="s">
        <v>21</v>
      </c>
      <c r="V5" s="5" t="s">
        <v>20</v>
      </c>
      <c r="W5" s="5" t="s">
        <v>21</v>
      </c>
      <c r="X5" s="5" t="s">
        <v>20</v>
      </c>
      <c r="Y5" s="5" t="s">
        <v>21</v>
      </c>
      <c r="Z5" s="5" t="s">
        <v>20</v>
      </c>
      <c r="AA5" s="5" t="s">
        <v>21</v>
      </c>
      <c r="AB5" s="5" t="s">
        <v>20</v>
      </c>
      <c r="AC5" s="5" t="s">
        <v>21</v>
      </c>
    </row>
    <row r="6" customFormat="false" ht="22.35" hidden="false" customHeight="true" outlineLevel="0" collapsed="false">
      <c r="B6" s="6" t="s">
        <v>22</v>
      </c>
      <c r="C6" s="7" t="s">
        <v>23</v>
      </c>
      <c r="D6" s="7" t="s">
        <v>24</v>
      </c>
      <c r="E6" s="7" t="s">
        <v>25</v>
      </c>
      <c r="F6" s="6" t="s">
        <v>26</v>
      </c>
      <c r="G6" s="8" t="n">
        <v>4</v>
      </c>
      <c r="H6" s="8" t="n">
        <v>4</v>
      </c>
      <c r="I6" s="6" t="n">
        <f aca="false">G6-H6</f>
        <v>0</v>
      </c>
      <c r="J6" s="9"/>
      <c r="K6" s="9" t="n">
        <f aca="false">I6-J6</f>
        <v>0</v>
      </c>
      <c r="L6" s="6"/>
      <c r="M6" s="6" t="n">
        <f aca="false">K6-L6</f>
        <v>0</v>
      </c>
      <c r="N6" s="9"/>
      <c r="O6" s="9" t="n">
        <f aca="false">M6-N6</f>
        <v>0</v>
      </c>
      <c r="P6" s="6"/>
      <c r="Q6" s="6" t="n">
        <f aca="false">O6-P6</f>
        <v>0</v>
      </c>
      <c r="R6" s="9"/>
      <c r="S6" s="9" t="n">
        <f aca="false">Q6-R6</f>
        <v>0</v>
      </c>
      <c r="T6" s="6"/>
      <c r="U6" s="6" t="n">
        <f aca="false">S6-T6</f>
        <v>0</v>
      </c>
      <c r="V6" s="9"/>
      <c r="W6" s="9" t="n">
        <f aca="false">U6-V6</f>
        <v>0</v>
      </c>
      <c r="X6" s="6"/>
      <c r="Y6" s="6" t="n">
        <f aca="false">W6-X6</f>
        <v>0</v>
      </c>
      <c r="Z6" s="9"/>
      <c r="AA6" s="9" t="n">
        <f aca="false">Y6-Z6</f>
        <v>0</v>
      </c>
      <c r="AB6" s="6" t="n">
        <f aca="false">H6+J6+L6+N6+P6+R6+T6+V6+X6+Z6</f>
        <v>4</v>
      </c>
      <c r="AC6" s="6" t="n">
        <f aca="false">G6-AB6</f>
        <v>0</v>
      </c>
    </row>
    <row r="7" customFormat="false" ht="22.35" hidden="false" customHeight="false" outlineLevel="0" collapsed="false">
      <c r="B7" s="6"/>
      <c r="C7" s="6"/>
      <c r="D7" s="7" t="s">
        <v>27</v>
      </c>
      <c r="E7" s="7" t="s">
        <v>28</v>
      </c>
      <c r="F7" s="6" t="s">
        <v>26</v>
      </c>
      <c r="G7" s="8" t="n">
        <v>4</v>
      </c>
      <c r="H7" s="8" t="n">
        <v>4</v>
      </c>
      <c r="I7" s="6" t="n">
        <f aca="false">G7-H7</f>
        <v>0</v>
      </c>
      <c r="J7" s="9"/>
      <c r="K7" s="9" t="n">
        <f aca="false">I7-J7</f>
        <v>0</v>
      </c>
      <c r="L7" s="6"/>
      <c r="M7" s="6" t="n">
        <f aca="false">K7-L7</f>
        <v>0</v>
      </c>
      <c r="N7" s="9"/>
      <c r="O7" s="9" t="n">
        <f aca="false">M7-N7</f>
        <v>0</v>
      </c>
      <c r="P7" s="6"/>
      <c r="Q7" s="6" t="n">
        <f aca="false">O7-P7</f>
        <v>0</v>
      </c>
      <c r="R7" s="9"/>
      <c r="S7" s="9" t="n">
        <f aca="false">Q7-R7</f>
        <v>0</v>
      </c>
      <c r="T7" s="6"/>
      <c r="U7" s="6" t="n">
        <f aca="false">S7-T7</f>
        <v>0</v>
      </c>
      <c r="V7" s="9"/>
      <c r="W7" s="9" t="n">
        <f aca="false">U7-V7</f>
        <v>0</v>
      </c>
      <c r="X7" s="6"/>
      <c r="Y7" s="6" t="n">
        <f aca="false">W7-X7</f>
        <v>0</v>
      </c>
      <c r="Z7" s="9"/>
      <c r="AA7" s="9" t="n">
        <f aca="false">Y7-Z7</f>
        <v>0</v>
      </c>
      <c r="AB7" s="6" t="n">
        <f aca="false">H7+J7+L7+N7+P7+R7+T7+V7+X7+Z7</f>
        <v>4</v>
      </c>
      <c r="AC7" s="6" t="n">
        <f aca="false">G7-AB7</f>
        <v>0</v>
      </c>
    </row>
    <row r="8" customFormat="false" ht="22.35" hidden="false" customHeight="false" outlineLevel="0" collapsed="false">
      <c r="B8" s="6"/>
      <c r="C8" s="6"/>
      <c r="D8" s="7" t="s">
        <v>29</v>
      </c>
      <c r="E8" s="7" t="s">
        <v>30</v>
      </c>
      <c r="F8" s="6" t="s">
        <v>26</v>
      </c>
      <c r="G8" s="8" t="n">
        <v>8</v>
      </c>
      <c r="H8" s="8" t="n">
        <v>6</v>
      </c>
      <c r="I8" s="6" t="n">
        <f aca="false">G8-H8</f>
        <v>2</v>
      </c>
      <c r="J8" s="10" t="n">
        <v>2</v>
      </c>
      <c r="K8" s="9" t="n">
        <f aca="false">I8-J8</f>
        <v>0</v>
      </c>
      <c r="L8" s="6"/>
      <c r="M8" s="6" t="n">
        <f aca="false">K8-L8</f>
        <v>0</v>
      </c>
      <c r="N8" s="9"/>
      <c r="O8" s="9" t="n">
        <f aca="false">M8-N8</f>
        <v>0</v>
      </c>
      <c r="P8" s="6"/>
      <c r="Q8" s="6" t="n">
        <f aca="false">O8-P8</f>
        <v>0</v>
      </c>
      <c r="R8" s="9"/>
      <c r="S8" s="9" t="n">
        <f aca="false">Q8-R8</f>
        <v>0</v>
      </c>
      <c r="T8" s="6"/>
      <c r="U8" s="6" t="n">
        <f aca="false">S8-T8</f>
        <v>0</v>
      </c>
      <c r="V8" s="9"/>
      <c r="W8" s="9" t="n">
        <f aca="false">U8-V8</f>
        <v>0</v>
      </c>
      <c r="X8" s="6"/>
      <c r="Y8" s="6" t="n">
        <f aca="false">W8-X8</f>
        <v>0</v>
      </c>
      <c r="Z8" s="9"/>
      <c r="AA8" s="9" t="n">
        <f aca="false">Y8-Z8</f>
        <v>0</v>
      </c>
      <c r="AB8" s="6" t="n">
        <f aca="false">H8+J8+L8+N8+P8+R8+T8+V8+X8+Z8</f>
        <v>8</v>
      </c>
      <c r="AC8" s="6" t="n">
        <f aca="false">G8-AB8</f>
        <v>0</v>
      </c>
    </row>
    <row r="9" customFormat="false" ht="22.35" hidden="false" customHeight="false" outlineLevel="0" collapsed="false">
      <c r="B9" s="6"/>
      <c r="C9" s="6"/>
      <c r="D9" s="7" t="s">
        <v>31</v>
      </c>
      <c r="E9" s="7" t="s">
        <v>25</v>
      </c>
      <c r="F9" s="6" t="s">
        <v>26</v>
      </c>
      <c r="G9" s="8" t="n">
        <v>4</v>
      </c>
      <c r="H9" s="6"/>
      <c r="I9" s="6" t="n">
        <f aca="false">G9-H9</f>
        <v>4</v>
      </c>
      <c r="J9" s="9"/>
      <c r="K9" s="9" t="n">
        <f aca="false">I9-J9</f>
        <v>4</v>
      </c>
      <c r="L9" s="8" t="n">
        <v>4</v>
      </c>
      <c r="M9" s="6" t="n">
        <f aca="false">K9-L9</f>
        <v>0</v>
      </c>
      <c r="N9" s="9"/>
      <c r="O9" s="9" t="n">
        <f aca="false">M9-N9</f>
        <v>0</v>
      </c>
      <c r="P9" s="6"/>
      <c r="Q9" s="6" t="n">
        <f aca="false">O9-P9</f>
        <v>0</v>
      </c>
      <c r="R9" s="9"/>
      <c r="S9" s="9" t="n">
        <f aca="false">Q9-R9</f>
        <v>0</v>
      </c>
      <c r="T9" s="6"/>
      <c r="U9" s="6" t="n">
        <f aca="false">S9-T9</f>
        <v>0</v>
      </c>
      <c r="V9" s="9"/>
      <c r="W9" s="9" t="n">
        <f aca="false">U9-V9</f>
        <v>0</v>
      </c>
      <c r="X9" s="6"/>
      <c r="Y9" s="6" t="n">
        <f aca="false">W9-X9</f>
        <v>0</v>
      </c>
      <c r="Z9" s="9"/>
      <c r="AA9" s="9" t="n">
        <f aca="false">Y9-Z9</f>
        <v>0</v>
      </c>
      <c r="AB9" s="6" t="n">
        <f aca="false">H9+J9+L9+N9+P9+R9+T9+V9+X9+Z9</f>
        <v>4</v>
      </c>
      <c r="AC9" s="6" t="n">
        <f aca="false">G9-AB9</f>
        <v>0</v>
      </c>
    </row>
    <row r="10" customFormat="false" ht="22.35" hidden="false" customHeight="true" outlineLevel="0" collapsed="false">
      <c r="B10" s="6" t="s">
        <v>32</v>
      </c>
      <c r="C10" s="7" t="s">
        <v>33</v>
      </c>
      <c r="D10" s="7" t="s">
        <v>34</v>
      </c>
      <c r="E10" s="7" t="s">
        <v>30</v>
      </c>
      <c r="F10" s="6" t="s">
        <v>26</v>
      </c>
      <c r="G10" s="8" t="n">
        <v>4</v>
      </c>
      <c r="H10" s="6"/>
      <c r="I10" s="6" t="n">
        <f aca="false">G10-H10</f>
        <v>4</v>
      </c>
      <c r="J10" s="10" t="n">
        <v>4</v>
      </c>
      <c r="K10" s="9" t="n">
        <f aca="false">I10-J10</f>
        <v>0</v>
      </c>
      <c r="L10" s="6"/>
      <c r="M10" s="6" t="n">
        <f aca="false">K10-L10</f>
        <v>0</v>
      </c>
      <c r="N10" s="9"/>
      <c r="O10" s="9" t="n">
        <f aca="false">M10-N10</f>
        <v>0</v>
      </c>
      <c r="P10" s="6"/>
      <c r="Q10" s="6" t="n">
        <f aca="false">O10-P10</f>
        <v>0</v>
      </c>
      <c r="R10" s="9"/>
      <c r="S10" s="9" t="n">
        <f aca="false">Q10-R10</f>
        <v>0</v>
      </c>
      <c r="T10" s="6"/>
      <c r="U10" s="6" t="n">
        <f aca="false">S10-T10</f>
        <v>0</v>
      </c>
      <c r="V10" s="9"/>
      <c r="W10" s="9" t="n">
        <f aca="false">U10-V10</f>
        <v>0</v>
      </c>
      <c r="X10" s="6"/>
      <c r="Y10" s="6" t="n">
        <f aca="false">W10-X10</f>
        <v>0</v>
      </c>
      <c r="Z10" s="9"/>
      <c r="AA10" s="9" t="n">
        <f aca="false">Y10-Z10</f>
        <v>0</v>
      </c>
      <c r="AB10" s="6" t="n">
        <f aca="false">H10+J10+L10+N10+P10+R10+T10+V10+X10+Z10</f>
        <v>4</v>
      </c>
      <c r="AC10" s="6" t="n">
        <f aca="false">G10-AB10</f>
        <v>0</v>
      </c>
    </row>
    <row r="11" customFormat="false" ht="15" hidden="false" customHeight="false" outlineLevel="0" collapsed="false">
      <c r="B11" s="6"/>
      <c r="C11" s="6"/>
      <c r="D11" s="7" t="s">
        <v>35</v>
      </c>
      <c r="E11" s="7" t="s">
        <v>30</v>
      </c>
      <c r="F11" s="6" t="s">
        <v>26</v>
      </c>
      <c r="G11" s="8" t="n">
        <v>2</v>
      </c>
      <c r="H11" s="6"/>
      <c r="I11" s="6" t="n">
        <f aca="false">G11-H11</f>
        <v>2</v>
      </c>
      <c r="J11" s="9"/>
      <c r="K11" s="9" t="n">
        <f aca="false">I11-J11</f>
        <v>2</v>
      </c>
      <c r="L11" s="8" t="n">
        <v>2</v>
      </c>
      <c r="M11" s="6" t="n">
        <f aca="false">K11-L11</f>
        <v>0</v>
      </c>
      <c r="N11" s="9"/>
      <c r="O11" s="9" t="n">
        <f aca="false">M11-N11</f>
        <v>0</v>
      </c>
      <c r="P11" s="6"/>
      <c r="Q11" s="6" t="n">
        <f aca="false">O11-P11</f>
        <v>0</v>
      </c>
      <c r="R11" s="9"/>
      <c r="S11" s="9" t="n">
        <f aca="false">Q11-R11</f>
        <v>0</v>
      </c>
      <c r="T11" s="6"/>
      <c r="U11" s="6" t="n">
        <f aca="false">S11-T11</f>
        <v>0</v>
      </c>
      <c r="V11" s="9"/>
      <c r="W11" s="9" t="n">
        <f aca="false">U11-V11</f>
        <v>0</v>
      </c>
      <c r="X11" s="6"/>
      <c r="Y11" s="6" t="n">
        <f aca="false">W11-X11</f>
        <v>0</v>
      </c>
      <c r="Z11" s="9"/>
      <c r="AA11" s="9" t="n">
        <f aca="false">Y11-Z11</f>
        <v>0</v>
      </c>
      <c r="AB11" s="6" t="n">
        <f aca="false">H11+J11+L11+N11+P11+R11+T11+V11+X11+Z11</f>
        <v>2</v>
      </c>
      <c r="AC11" s="6" t="n">
        <f aca="false">G11-AB11</f>
        <v>0</v>
      </c>
    </row>
    <row r="12" customFormat="false" ht="22.35" hidden="false" customHeight="false" outlineLevel="0" collapsed="false">
      <c r="B12" s="6"/>
      <c r="C12" s="6"/>
      <c r="D12" s="7" t="s">
        <v>36</v>
      </c>
      <c r="E12" s="7" t="s">
        <v>25</v>
      </c>
      <c r="F12" s="6" t="s">
        <v>26</v>
      </c>
      <c r="G12" s="8" t="n">
        <v>5</v>
      </c>
      <c r="H12" s="8" t="n">
        <v>2</v>
      </c>
      <c r="I12" s="6" t="n">
        <f aca="false">G12-H12</f>
        <v>3</v>
      </c>
      <c r="J12" s="10" t="n">
        <v>3</v>
      </c>
      <c r="K12" s="9" t="n">
        <f aca="false">I12-J12</f>
        <v>0</v>
      </c>
      <c r="L12" s="6"/>
      <c r="M12" s="6" t="n">
        <f aca="false">K12-L12</f>
        <v>0</v>
      </c>
      <c r="N12" s="9"/>
      <c r="O12" s="9" t="n">
        <f aca="false">M12-N12</f>
        <v>0</v>
      </c>
      <c r="P12" s="6"/>
      <c r="Q12" s="6" t="n">
        <f aca="false">O12-P12</f>
        <v>0</v>
      </c>
      <c r="R12" s="9"/>
      <c r="S12" s="9" t="n">
        <f aca="false">Q12-R12</f>
        <v>0</v>
      </c>
      <c r="T12" s="6"/>
      <c r="U12" s="6" t="n">
        <f aca="false">S12-T12</f>
        <v>0</v>
      </c>
      <c r="V12" s="9"/>
      <c r="W12" s="9" t="n">
        <f aca="false">U12-V12</f>
        <v>0</v>
      </c>
      <c r="X12" s="6"/>
      <c r="Y12" s="6" t="n">
        <f aca="false">W12-X12</f>
        <v>0</v>
      </c>
      <c r="Z12" s="9"/>
      <c r="AA12" s="9" t="n">
        <f aca="false">Y12-Z12</f>
        <v>0</v>
      </c>
      <c r="AB12" s="6" t="n">
        <f aca="false">H12+J12+L12+N12+P12+R12+T12+V12+X12+Z12</f>
        <v>5</v>
      </c>
      <c r="AC12" s="6" t="n">
        <f aca="false">G12-AB12</f>
        <v>0</v>
      </c>
    </row>
    <row r="13" customFormat="false" ht="22.35" hidden="false" customHeight="false" outlineLevel="0" collapsed="false">
      <c r="B13" s="6"/>
      <c r="C13" s="6"/>
      <c r="D13" s="7" t="s">
        <v>37</v>
      </c>
      <c r="E13" s="7" t="s">
        <v>28</v>
      </c>
      <c r="F13" s="6" t="s">
        <v>26</v>
      </c>
      <c r="G13" s="8" t="n">
        <v>2</v>
      </c>
      <c r="H13" s="6"/>
      <c r="I13" s="6" t="n">
        <f aca="false">G13-H13</f>
        <v>2</v>
      </c>
      <c r="J13" s="9"/>
      <c r="K13" s="9" t="n">
        <f aca="false">I13-J13</f>
        <v>2</v>
      </c>
      <c r="L13" s="6"/>
      <c r="M13" s="6" t="n">
        <f aca="false">K13-L13</f>
        <v>2</v>
      </c>
      <c r="N13" s="10" t="n">
        <v>2</v>
      </c>
      <c r="O13" s="9" t="n">
        <f aca="false">M13-N13</f>
        <v>0</v>
      </c>
      <c r="P13" s="6"/>
      <c r="Q13" s="6" t="n">
        <f aca="false">O13-P13</f>
        <v>0</v>
      </c>
      <c r="R13" s="9"/>
      <c r="S13" s="9" t="n">
        <f aca="false">Q13-R13</f>
        <v>0</v>
      </c>
      <c r="T13" s="6"/>
      <c r="U13" s="6" t="n">
        <f aca="false">S13-T13</f>
        <v>0</v>
      </c>
      <c r="V13" s="9"/>
      <c r="W13" s="9" t="n">
        <f aca="false">U13-V13</f>
        <v>0</v>
      </c>
      <c r="X13" s="6"/>
      <c r="Y13" s="6" t="n">
        <f aca="false">W13-X13</f>
        <v>0</v>
      </c>
      <c r="Z13" s="9"/>
      <c r="AA13" s="9" t="n">
        <f aca="false">Y13-Z13</f>
        <v>0</v>
      </c>
      <c r="AB13" s="6" t="n">
        <f aca="false">H13+J13+L13+N13+P13+R13+T13+V13+X13+Z13</f>
        <v>2</v>
      </c>
      <c r="AC13" s="6" t="n">
        <f aca="false">G13-AB13</f>
        <v>0</v>
      </c>
    </row>
    <row r="14" customFormat="false" ht="15" hidden="false" customHeight="true" outlineLevel="0" collapsed="false">
      <c r="B14" s="6" t="s">
        <v>38</v>
      </c>
      <c r="C14" s="7" t="s">
        <v>39</v>
      </c>
      <c r="D14" s="7" t="s">
        <v>40</v>
      </c>
      <c r="E14" s="7" t="s">
        <v>30</v>
      </c>
      <c r="F14" s="6" t="s">
        <v>26</v>
      </c>
      <c r="G14" s="8" t="n">
        <v>4</v>
      </c>
      <c r="H14" s="6"/>
      <c r="I14" s="6" t="n">
        <f aca="false">G14-H14</f>
        <v>4</v>
      </c>
      <c r="J14" s="9"/>
      <c r="K14" s="9" t="n">
        <f aca="false">I14-J14</f>
        <v>4</v>
      </c>
      <c r="L14" s="8" t="n">
        <v>4</v>
      </c>
      <c r="M14" s="6" t="n">
        <f aca="false">K14-L14</f>
        <v>0</v>
      </c>
      <c r="N14" s="9"/>
      <c r="O14" s="9" t="n">
        <f aca="false">M14-N14</f>
        <v>0</v>
      </c>
      <c r="P14" s="6"/>
      <c r="Q14" s="6" t="n">
        <f aca="false">O14-P14</f>
        <v>0</v>
      </c>
      <c r="R14" s="9"/>
      <c r="S14" s="9" t="n">
        <f aca="false">Q14-R14</f>
        <v>0</v>
      </c>
      <c r="T14" s="6"/>
      <c r="U14" s="6" t="n">
        <f aca="false">S14-T14</f>
        <v>0</v>
      </c>
      <c r="V14" s="9"/>
      <c r="W14" s="9" t="n">
        <f aca="false">U14-V14</f>
        <v>0</v>
      </c>
      <c r="X14" s="6"/>
      <c r="Y14" s="6" t="n">
        <f aca="false">W14-X14</f>
        <v>0</v>
      </c>
      <c r="Z14" s="9"/>
      <c r="AA14" s="9" t="n">
        <f aca="false">Y14-Z14</f>
        <v>0</v>
      </c>
      <c r="AB14" s="6" t="n">
        <f aca="false">H14+J14+L14+N14+P14+R14+T14+V14+X14+Z14</f>
        <v>4</v>
      </c>
      <c r="AC14" s="6" t="n">
        <f aca="false">G14-AB14</f>
        <v>0</v>
      </c>
    </row>
    <row r="15" customFormat="false" ht="22.35" hidden="false" customHeight="false" outlineLevel="0" collapsed="false">
      <c r="B15" s="6"/>
      <c r="C15" s="6"/>
      <c r="D15" s="7" t="s">
        <v>41</v>
      </c>
      <c r="E15" s="7" t="s">
        <v>25</v>
      </c>
      <c r="F15" s="6" t="s">
        <v>26</v>
      </c>
      <c r="G15" s="8" t="n">
        <v>4</v>
      </c>
      <c r="H15" s="6"/>
      <c r="I15" s="6" t="n">
        <f aca="false">G15-H15</f>
        <v>4</v>
      </c>
      <c r="J15" s="10" t="n">
        <v>3</v>
      </c>
      <c r="K15" s="9" t="n">
        <f aca="false">I15-J15</f>
        <v>1</v>
      </c>
      <c r="L15" s="8" t="n">
        <v>1</v>
      </c>
      <c r="M15" s="6" t="n">
        <f aca="false">K15-L15</f>
        <v>0</v>
      </c>
      <c r="N15" s="9"/>
      <c r="O15" s="9" t="n">
        <f aca="false">M15-N15</f>
        <v>0</v>
      </c>
      <c r="P15" s="6"/>
      <c r="Q15" s="6" t="n">
        <f aca="false">O15-P15</f>
        <v>0</v>
      </c>
      <c r="R15" s="9"/>
      <c r="S15" s="9" t="n">
        <f aca="false">Q15-R15</f>
        <v>0</v>
      </c>
      <c r="T15" s="6"/>
      <c r="U15" s="6" t="n">
        <f aca="false">S15-T15</f>
        <v>0</v>
      </c>
      <c r="V15" s="9"/>
      <c r="W15" s="9" t="n">
        <f aca="false">U15-V15</f>
        <v>0</v>
      </c>
      <c r="X15" s="6"/>
      <c r="Y15" s="6" t="n">
        <f aca="false">W15-X15</f>
        <v>0</v>
      </c>
      <c r="Z15" s="9"/>
      <c r="AA15" s="9" t="n">
        <f aca="false">Y15-Z15</f>
        <v>0</v>
      </c>
      <c r="AB15" s="6" t="n">
        <f aca="false">H15+J15+L15+N15+P15+R15+T15+V15+X15+Z15</f>
        <v>4</v>
      </c>
      <c r="AC15" s="6" t="n">
        <f aca="false">G15-AB15</f>
        <v>0</v>
      </c>
    </row>
    <row r="16" customFormat="false" ht="15" hidden="false" customHeight="false" outlineLevel="0" collapsed="false">
      <c r="B16" s="6"/>
      <c r="C16" s="6"/>
      <c r="D16" s="7" t="s">
        <v>42</v>
      </c>
      <c r="E16" s="7" t="s">
        <v>30</v>
      </c>
      <c r="F16" s="6" t="s">
        <v>26</v>
      </c>
      <c r="G16" s="8" t="n">
        <v>3</v>
      </c>
      <c r="H16" s="6"/>
      <c r="I16" s="6" t="n">
        <f aca="false">G16-H16</f>
        <v>3</v>
      </c>
      <c r="J16" s="9"/>
      <c r="K16" s="9" t="n">
        <f aca="false">I16-J16</f>
        <v>3</v>
      </c>
      <c r="L16" s="6"/>
      <c r="M16" s="6" t="n">
        <f aca="false">K16-L16</f>
        <v>3</v>
      </c>
      <c r="N16" s="10" t="n">
        <v>3</v>
      </c>
      <c r="O16" s="9" t="n">
        <f aca="false">M16-N16</f>
        <v>0</v>
      </c>
      <c r="P16" s="6"/>
      <c r="Q16" s="6" t="n">
        <f aca="false">O16-P16</f>
        <v>0</v>
      </c>
      <c r="R16" s="9"/>
      <c r="S16" s="9" t="n">
        <f aca="false">Q16-R16</f>
        <v>0</v>
      </c>
      <c r="T16" s="6"/>
      <c r="U16" s="6" t="n">
        <f aca="false">S16-T16</f>
        <v>0</v>
      </c>
      <c r="V16" s="9"/>
      <c r="W16" s="9" t="n">
        <f aca="false">U16-V16</f>
        <v>0</v>
      </c>
      <c r="X16" s="6"/>
      <c r="Y16" s="6" t="n">
        <f aca="false">W16-X16</f>
        <v>0</v>
      </c>
      <c r="Z16" s="9"/>
      <c r="AA16" s="9" t="n">
        <f aca="false">Y16-Z16</f>
        <v>0</v>
      </c>
      <c r="AB16" s="6" t="n">
        <f aca="false">H16+J16+L16+N16+P16+R16+T16+V16+X16+Z16</f>
        <v>3</v>
      </c>
      <c r="AC16" s="6" t="n">
        <f aca="false">G16-AB16</f>
        <v>0</v>
      </c>
    </row>
    <row r="17" customFormat="false" ht="15" hidden="false" customHeight="false" outlineLevel="0" collapsed="false">
      <c r="B17" s="6"/>
      <c r="C17" s="6"/>
      <c r="D17" s="7" t="s">
        <v>43</v>
      </c>
      <c r="E17" s="7" t="s">
        <v>28</v>
      </c>
      <c r="F17" s="6" t="s">
        <v>26</v>
      </c>
      <c r="G17" s="8" t="n">
        <v>2</v>
      </c>
      <c r="H17" s="6"/>
      <c r="I17" s="6" t="n">
        <f aca="false">G17-H17</f>
        <v>2</v>
      </c>
      <c r="J17" s="9"/>
      <c r="K17" s="9" t="n">
        <f aca="false">I17-J17</f>
        <v>2</v>
      </c>
      <c r="L17" s="6"/>
      <c r="M17" s="6" t="n">
        <f aca="false">K17-L17</f>
        <v>2</v>
      </c>
      <c r="N17" s="9"/>
      <c r="O17" s="9" t="n">
        <f aca="false">M17-N17</f>
        <v>2</v>
      </c>
      <c r="P17" s="8" t="n">
        <v>2</v>
      </c>
      <c r="Q17" s="6" t="n">
        <f aca="false">O17-P17</f>
        <v>0</v>
      </c>
      <c r="R17" s="9"/>
      <c r="S17" s="9" t="n">
        <f aca="false">Q17-R17</f>
        <v>0</v>
      </c>
      <c r="T17" s="6"/>
      <c r="U17" s="6" t="n">
        <f aca="false">S17-T17</f>
        <v>0</v>
      </c>
      <c r="V17" s="9"/>
      <c r="W17" s="9" t="n">
        <f aca="false">U17-V17</f>
        <v>0</v>
      </c>
      <c r="X17" s="6"/>
      <c r="Y17" s="6" t="n">
        <f aca="false">W17-X17</f>
        <v>0</v>
      </c>
      <c r="Z17" s="9"/>
      <c r="AA17" s="9" t="n">
        <f aca="false">Y17-Z17</f>
        <v>0</v>
      </c>
      <c r="AB17" s="6" t="n">
        <f aca="false">H17+J17+L17+N17+P17+R17+T17+V17+X17+Z17</f>
        <v>2</v>
      </c>
      <c r="AC17" s="6" t="n">
        <f aca="false">G17-AB17</f>
        <v>0</v>
      </c>
    </row>
    <row r="18" customFormat="false" ht="15" hidden="false" customHeight="true" outlineLevel="0" collapsed="false">
      <c r="B18" s="6" t="s">
        <v>44</v>
      </c>
      <c r="C18" s="7" t="s">
        <v>45</v>
      </c>
      <c r="D18" s="7" t="s">
        <v>46</v>
      </c>
      <c r="E18" s="7" t="s">
        <v>28</v>
      </c>
      <c r="F18" s="6" t="s">
        <v>26</v>
      </c>
      <c r="G18" s="8" t="n">
        <v>4</v>
      </c>
      <c r="H18" s="8" t="n">
        <v>2</v>
      </c>
      <c r="I18" s="6" t="n">
        <f aca="false">G18-H18</f>
        <v>2</v>
      </c>
      <c r="J18" s="10" t="n">
        <v>2</v>
      </c>
      <c r="K18" s="9" t="n">
        <f aca="false">I18-J18</f>
        <v>0</v>
      </c>
      <c r="L18" s="6"/>
      <c r="M18" s="6" t="n">
        <f aca="false">K18-L18</f>
        <v>0</v>
      </c>
      <c r="N18" s="9"/>
      <c r="O18" s="9" t="n">
        <f aca="false">M18-N18</f>
        <v>0</v>
      </c>
      <c r="P18" s="6"/>
      <c r="Q18" s="6" t="n">
        <f aca="false">O18-P18</f>
        <v>0</v>
      </c>
      <c r="R18" s="9"/>
      <c r="S18" s="9" t="n">
        <f aca="false">Q18-R18</f>
        <v>0</v>
      </c>
      <c r="T18" s="6"/>
      <c r="U18" s="6" t="n">
        <f aca="false">S18-T18</f>
        <v>0</v>
      </c>
      <c r="V18" s="9"/>
      <c r="W18" s="9" t="n">
        <f aca="false">U18-V18</f>
        <v>0</v>
      </c>
      <c r="X18" s="6"/>
      <c r="Y18" s="6" t="n">
        <f aca="false">W18-X18</f>
        <v>0</v>
      </c>
      <c r="Z18" s="9"/>
      <c r="AA18" s="9" t="n">
        <f aca="false">Y18-Z18</f>
        <v>0</v>
      </c>
      <c r="AB18" s="6" t="n">
        <f aca="false">H18+J18+L18+N18+P18+R18+T18+V18+X18+Z18</f>
        <v>4</v>
      </c>
      <c r="AC18" s="6" t="n">
        <f aca="false">G18-AB18</f>
        <v>0</v>
      </c>
    </row>
    <row r="19" customFormat="false" ht="22.35" hidden="false" customHeight="false" outlineLevel="0" collapsed="false">
      <c r="B19" s="6"/>
      <c r="C19" s="6"/>
      <c r="D19" s="7" t="s">
        <v>47</v>
      </c>
      <c r="E19" s="7" t="s">
        <v>30</v>
      </c>
      <c r="F19" s="6" t="s">
        <v>26</v>
      </c>
      <c r="G19" s="8" t="n">
        <v>6</v>
      </c>
      <c r="H19" s="6"/>
      <c r="I19" s="6" t="n">
        <f aca="false">G19-H19</f>
        <v>6</v>
      </c>
      <c r="J19" s="9"/>
      <c r="K19" s="9" t="n">
        <f aca="false">I19-J19</f>
        <v>6</v>
      </c>
      <c r="L19" s="6"/>
      <c r="M19" s="6" t="n">
        <f aca="false">K19-L19</f>
        <v>6</v>
      </c>
      <c r="N19" s="10" t="n">
        <v>3</v>
      </c>
      <c r="O19" s="9" t="n">
        <f aca="false">M19-N19</f>
        <v>3</v>
      </c>
      <c r="P19" s="8" t="n">
        <v>3</v>
      </c>
      <c r="Q19" s="6" t="n">
        <f aca="false">O19-P19</f>
        <v>0</v>
      </c>
      <c r="R19" s="9"/>
      <c r="S19" s="9" t="n">
        <f aca="false">Q19-R19</f>
        <v>0</v>
      </c>
      <c r="T19" s="6"/>
      <c r="U19" s="6" t="n">
        <f aca="false">S19-T19</f>
        <v>0</v>
      </c>
      <c r="V19" s="9"/>
      <c r="W19" s="9" t="n">
        <f aca="false">U19-V19</f>
        <v>0</v>
      </c>
      <c r="X19" s="6"/>
      <c r="Y19" s="6" t="n">
        <f aca="false">W19-X19</f>
        <v>0</v>
      </c>
      <c r="Z19" s="9"/>
      <c r="AA19" s="9" t="n">
        <f aca="false">Y19-Z19</f>
        <v>0</v>
      </c>
      <c r="AB19" s="6" t="n">
        <f aca="false">H19+J19+L19+N19+P19+R19+T19+V19+X19+Z19</f>
        <v>6</v>
      </c>
      <c r="AC19" s="6" t="n">
        <f aca="false">G19-AB19</f>
        <v>0</v>
      </c>
    </row>
    <row r="20" customFormat="false" ht="22.35" hidden="false" customHeight="false" outlineLevel="0" collapsed="false">
      <c r="B20" s="6"/>
      <c r="C20" s="6"/>
      <c r="D20" s="7" t="s">
        <v>48</v>
      </c>
      <c r="E20" s="7" t="s">
        <v>25</v>
      </c>
      <c r="F20" s="6" t="s">
        <v>26</v>
      </c>
      <c r="G20" s="8" t="n">
        <v>4</v>
      </c>
      <c r="H20" s="6"/>
      <c r="I20" s="6" t="n">
        <f aca="false">G20-H20</f>
        <v>4</v>
      </c>
      <c r="J20" s="9"/>
      <c r="K20" s="9" t="n">
        <f aca="false">I20-J20</f>
        <v>4</v>
      </c>
      <c r="L20" s="8" t="n">
        <v>1</v>
      </c>
      <c r="M20" s="6" t="n">
        <f aca="false">K20-L20</f>
        <v>3</v>
      </c>
      <c r="N20" s="10" t="n">
        <v>3</v>
      </c>
      <c r="O20" s="9" t="n">
        <f aca="false">M20-N20</f>
        <v>0</v>
      </c>
      <c r="P20" s="6"/>
      <c r="Q20" s="6" t="n">
        <f aca="false">O20-P20</f>
        <v>0</v>
      </c>
      <c r="R20" s="9"/>
      <c r="S20" s="9" t="n">
        <f aca="false">Q20-R20</f>
        <v>0</v>
      </c>
      <c r="T20" s="6"/>
      <c r="U20" s="6" t="n">
        <f aca="false">S20-T20</f>
        <v>0</v>
      </c>
      <c r="V20" s="9"/>
      <c r="W20" s="9" t="n">
        <f aca="false">U20-V20</f>
        <v>0</v>
      </c>
      <c r="X20" s="6"/>
      <c r="Y20" s="6" t="n">
        <f aca="false">W20-X20</f>
        <v>0</v>
      </c>
      <c r="Z20" s="9"/>
      <c r="AA20" s="9" t="n">
        <f aca="false">Y20-Z20</f>
        <v>0</v>
      </c>
      <c r="AB20" s="6" t="n">
        <f aca="false">H20+J20+L20+N20+P20+R20+T20+V20+X20+Z20</f>
        <v>4</v>
      </c>
      <c r="AC20" s="6" t="n">
        <f aca="false">G20-AB20</f>
        <v>0</v>
      </c>
    </row>
    <row r="21" customFormat="false" ht="22.35" hidden="false" customHeight="false" outlineLevel="0" collapsed="false">
      <c r="B21" s="6"/>
      <c r="C21" s="6"/>
      <c r="D21" s="7" t="s">
        <v>49</v>
      </c>
      <c r="E21" s="7" t="s">
        <v>25</v>
      </c>
      <c r="F21" s="6" t="s">
        <v>26</v>
      </c>
      <c r="G21" s="8" t="n">
        <v>4</v>
      </c>
      <c r="H21" s="6"/>
      <c r="I21" s="6" t="n">
        <f aca="false">G21-H21</f>
        <v>4</v>
      </c>
      <c r="J21" s="9"/>
      <c r="K21" s="9" t="n">
        <f aca="false">I21-J21</f>
        <v>4</v>
      </c>
      <c r="L21" s="6"/>
      <c r="M21" s="6" t="n">
        <f aca="false">K21-L21</f>
        <v>4</v>
      </c>
      <c r="N21" s="9"/>
      <c r="O21" s="9" t="n">
        <f aca="false">M21-N21</f>
        <v>4</v>
      </c>
      <c r="P21" s="6"/>
      <c r="Q21" s="6" t="n">
        <f aca="false">O21-P21</f>
        <v>4</v>
      </c>
      <c r="R21" s="10" t="n">
        <v>4</v>
      </c>
      <c r="S21" s="9" t="n">
        <f aca="false">Q21-R21</f>
        <v>0</v>
      </c>
      <c r="T21" s="6"/>
      <c r="U21" s="6" t="n">
        <f aca="false">S21-T21</f>
        <v>0</v>
      </c>
      <c r="V21" s="9"/>
      <c r="W21" s="9" t="n">
        <f aca="false">U21-V21</f>
        <v>0</v>
      </c>
      <c r="X21" s="6"/>
      <c r="Y21" s="6" t="n">
        <f aca="false">W21-X21</f>
        <v>0</v>
      </c>
      <c r="Z21" s="9"/>
      <c r="AA21" s="9" t="n">
        <f aca="false">Y21-Z21</f>
        <v>0</v>
      </c>
      <c r="AB21" s="6" t="n">
        <f aca="false">H21+J21+L21+N21+P21+R21+T21+V21+X21+Z21</f>
        <v>4</v>
      </c>
      <c r="AC21" s="6" t="n">
        <f aca="false">G21-AB21</f>
        <v>0</v>
      </c>
    </row>
    <row r="22" customFormat="false" ht="22.35" hidden="false" customHeight="true" outlineLevel="0" collapsed="false">
      <c r="B22" s="6" t="s">
        <v>50</v>
      </c>
      <c r="C22" s="7" t="s">
        <v>51</v>
      </c>
      <c r="D22" s="7" t="s">
        <v>52</v>
      </c>
      <c r="E22" s="7" t="s">
        <v>30</v>
      </c>
      <c r="F22" s="6" t="s">
        <v>26</v>
      </c>
      <c r="G22" s="8" t="n">
        <v>3</v>
      </c>
      <c r="H22" s="6"/>
      <c r="I22" s="6" t="n">
        <f aca="false">G22-H22</f>
        <v>3</v>
      </c>
      <c r="J22" s="9"/>
      <c r="K22" s="9" t="n">
        <f aca="false">I22-J22</f>
        <v>3</v>
      </c>
      <c r="L22" s="6"/>
      <c r="M22" s="6" t="n">
        <f aca="false">K22-L22</f>
        <v>3</v>
      </c>
      <c r="N22" s="9"/>
      <c r="O22" s="9" t="n">
        <f aca="false">M22-N22</f>
        <v>3</v>
      </c>
      <c r="P22" s="8" t="n">
        <v>3</v>
      </c>
      <c r="Q22" s="6" t="n">
        <f aca="false">O22-P22</f>
        <v>0</v>
      </c>
      <c r="R22" s="9"/>
      <c r="S22" s="9" t="n">
        <f aca="false">Q22-R22</f>
        <v>0</v>
      </c>
      <c r="T22" s="6"/>
      <c r="U22" s="6" t="n">
        <f aca="false">S22-T22</f>
        <v>0</v>
      </c>
      <c r="V22" s="9"/>
      <c r="W22" s="9" t="n">
        <f aca="false">U22-V22</f>
        <v>0</v>
      </c>
      <c r="X22" s="6"/>
      <c r="Y22" s="6" t="n">
        <f aca="false">W22-X22</f>
        <v>0</v>
      </c>
      <c r="Z22" s="9"/>
      <c r="AA22" s="9" t="n">
        <f aca="false">Y22-Z22</f>
        <v>0</v>
      </c>
      <c r="AB22" s="6" t="n">
        <f aca="false">H22+J22+L22+N22+P22+R22+T22+V22+X22+Z22</f>
        <v>3</v>
      </c>
      <c r="AC22" s="6" t="n">
        <f aca="false">G22-AB22</f>
        <v>0</v>
      </c>
    </row>
    <row r="23" customFormat="false" ht="22.35" hidden="false" customHeight="false" outlineLevel="0" collapsed="false">
      <c r="B23" s="6"/>
      <c r="C23" s="6"/>
      <c r="D23" s="7" t="s">
        <v>53</v>
      </c>
      <c r="E23" s="7" t="s">
        <v>28</v>
      </c>
      <c r="F23" s="6" t="s">
        <v>26</v>
      </c>
      <c r="G23" s="8" t="n">
        <v>7</v>
      </c>
      <c r="H23" s="6"/>
      <c r="I23" s="6" t="n">
        <f aca="false">G23-H23</f>
        <v>7</v>
      </c>
      <c r="J23" s="10" t="n">
        <v>4</v>
      </c>
      <c r="K23" s="9" t="n">
        <f aca="false">I23-J23</f>
        <v>3</v>
      </c>
      <c r="L23" s="8" t="n">
        <v>3</v>
      </c>
      <c r="M23" s="6" t="n">
        <f aca="false">K23-L23</f>
        <v>0</v>
      </c>
      <c r="N23" s="9"/>
      <c r="O23" s="9" t="n">
        <f aca="false">M23-N23</f>
        <v>0</v>
      </c>
      <c r="P23" s="6"/>
      <c r="Q23" s="6" t="n">
        <f aca="false">O23-P23</f>
        <v>0</v>
      </c>
      <c r="R23" s="9"/>
      <c r="S23" s="9" t="n">
        <f aca="false">Q23-R23</f>
        <v>0</v>
      </c>
      <c r="T23" s="6"/>
      <c r="U23" s="6" t="n">
        <f aca="false">S23-T23</f>
        <v>0</v>
      </c>
      <c r="V23" s="9"/>
      <c r="W23" s="9" t="n">
        <f aca="false">U23-V23</f>
        <v>0</v>
      </c>
      <c r="X23" s="6"/>
      <c r="Y23" s="6" t="n">
        <f aca="false">W23-X23</f>
        <v>0</v>
      </c>
      <c r="Z23" s="9"/>
      <c r="AA23" s="9" t="n">
        <f aca="false">Y23-Z23</f>
        <v>0</v>
      </c>
      <c r="AB23" s="6" t="n">
        <f aca="false">H23+J23+L23+N23+P23+R23+T23+V23+X23+Z23</f>
        <v>7</v>
      </c>
      <c r="AC23" s="6" t="n">
        <f aca="false">G23-AB23</f>
        <v>0</v>
      </c>
    </row>
    <row r="24" customFormat="false" ht="15" hidden="false" customHeight="false" outlineLevel="0" collapsed="false">
      <c r="B24" s="6"/>
      <c r="C24" s="6"/>
      <c r="D24" s="7" t="s">
        <v>54</v>
      </c>
      <c r="E24" s="7" t="s">
        <v>30</v>
      </c>
      <c r="F24" s="6" t="s">
        <v>26</v>
      </c>
      <c r="G24" s="8" t="n">
        <v>5</v>
      </c>
      <c r="H24" s="6"/>
      <c r="I24" s="6" t="n">
        <f aca="false">G24-H24</f>
        <v>5</v>
      </c>
      <c r="J24" s="9"/>
      <c r="K24" s="9" t="n">
        <f aca="false">I24-J24</f>
        <v>5</v>
      </c>
      <c r="L24" s="6"/>
      <c r="M24" s="6" t="n">
        <f aca="false">K24-L24</f>
        <v>5</v>
      </c>
      <c r="N24" s="9"/>
      <c r="O24" s="9" t="n">
        <f aca="false">M24-N24</f>
        <v>5</v>
      </c>
      <c r="P24" s="6"/>
      <c r="Q24" s="6" t="n">
        <f aca="false">O24-P24</f>
        <v>5</v>
      </c>
      <c r="R24" s="10" t="n">
        <v>5</v>
      </c>
      <c r="S24" s="9" t="n">
        <f aca="false">Q24-R24</f>
        <v>0</v>
      </c>
      <c r="T24" s="6"/>
      <c r="U24" s="6" t="n">
        <f aca="false">S24-T24</f>
        <v>0</v>
      </c>
      <c r="V24" s="9"/>
      <c r="W24" s="9" t="n">
        <f aca="false">U24-V24</f>
        <v>0</v>
      </c>
      <c r="X24" s="6"/>
      <c r="Y24" s="6" t="n">
        <f aca="false">W24-X24</f>
        <v>0</v>
      </c>
      <c r="Z24" s="9"/>
      <c r="AA24" s="9" t="n">
        <f aca="false">Y24-Z24</f>
        <v>0</v>
      </c>
      <c r="AB24" s="6" t="n">
        <f aca="false">H24+J24+L24+N24+P24+R24+T24+V24+X24+Z24</f>
        <v>5</v>
      </c>
      <c r="AC24" s="6" t="n">
        <f aca="false">G24-AB24</f>
        <v>0</v>
      </c>
    </row>
    <row r="25" customFormat="false" ht="15" hidden="false" customHeight="false" outlineLevel="0" collapsed="false">
      <c r="B25" s="6"/>
      <c r="C25" s="6"/>
      <c r="D25" s="7" t="s">
        <v>55</v>
      </c>
      <c r="E25" s="7" t="s">
        <v>25</v>
      </c>
      <c r="F25" s="6" t="s">
        <v>26</v>
      </c>
      <c r="G25" s="8" t="n">
        <v>3</v>
      </c>
      <c r="H25" s="6"/>
      <c r="I25" s="6" t="n">
        <f aca="false">G25-H25</f>
        <v>3</v>
      </c>
      <c r="J25" s="9"/>
      <c r="K25" s="9" t="n">
        <f aca="false">I25-J25</f>
        <v>3</v>
      </c>
      <c r="L25" s="6"/>
      <c r="M25" s="6" t="n">
        <f aca="false">K25-L25</f>
        <v>3</v>
      </c>
      <c r="N25" s="9"/>
      <c r="O25" s="9" t="n">
        <f aca="false">M25-N25</f>
        <v>3</v>
      </c>
      <c r="P25" s="6"/>
      <c r="Q25" s="6" t="n">
        <f aca="false">O25-P25</f>
        <v>3</v>
      </c>
      <c r="R25" s="9"/>
      <c r="S25" s="9" t="n">
        <f aca="false">Q25-R25</f>
        <v>3</v>
      </c>
      <c r="T25" s="8" t="n">
        <v>3</v>
      </c>
      <c r="U25" s="6" t="n">
        <f aca="false">S25-T25</f>
        <v>0</v>
      </c>
      <c r="V25" s="9"/>
      <c r="W25" s="9" t="n">
        <f aca="false">U25-V25</f>
        <v>0</v>
      </c>
      <c r="X25" s="6"/>
      <c r="Y25" s="6" t="n">
        <f aca="false">W25-X25</f>
        <v>0</v>
      </c>
      <c r="Z25" s="9"/>
      <c r="AA25" s="9" t="n">
        <f aca="false">Y25-Z25</f>
        <v>0</v>
      </c>
      <c r="AB25" s="6" t="n">
        <f aca="false">H25+J25+L25+N25+P25+R25+T25+V25+X25+Z25</f>
        <v>3</v>
      </c>
      <c r="AC25" s="6" t="n">
        <f aca="false">G25-AB25</f>
        <v>0</v>
      </c>
    </row>
    <row r="26" customFormat="false" ht="22.35" hidden="false" customHeight="true" outlineLevel="0" collapsed="false">
      <c r="B26" s="6" t="s">
        <v>56</v>
      </c>
      <c r="C26" s="7" t="s">
        <v>57</v>
      </c>
      <c r="D26" s="7" t="s">
        <v>58</v>
      </c>
      <c r="E26" s="7" t="s">
        <v>30</v>
      </c>
      <c r="F26" s="6" t="s">
        <v>26</v>
      </c>
      <c r="G26" s="8" t="n">
        <v>4</v>
      </c>
      <c r="H26" s="6"/>
      <c r="I26" s="6" t="n">
        <f aca="false">G26-H26</f>
        <v>4</v>
      </c>
      <c r="J26" s="9"/>
      <c r="K26" s="9" t="n">
        <f aca="false">I26-J26</f>
        <v>4</v>
      </c>
      <c r="L26" s="6"/>
      <c r="M26" s="6" t="n">
        <f aca="false">K26-L26</f>
        <v>4</v>
      </c>
      <c r="N26" s="9"/>
      <c r="O26" s="9" t="n">
        <f aca="false">M26-N26</f>
        <v>4</v>
      </c>
      <c r="P26" s="6"/>
      <c r="Q26" s="6" t="n">
        <f aca="false">O26-P26</f>
        <v>4</v>
      </c>
      <c r="R26" s="10" t="n">
        <v>1</v>
      </c>
      <c r="S26" s="9" t="n">
        <f aca="false">Q26-R26</f>
        <v>3</v>
      </c>
      <c r="T26" s="8" t="n">
        <v>3</v>
      </c>
      <c r="U26" s="6" t="n">
        <f aca="false">S26-T26</f>
        <v>0</v>
      </c>
      <c r="V26" s="9"/>
      <c r="W26" s="9" t="n">
        <f aca="false">U26-V26</f>
        <v>0</v>
      </c>
      <c r="X26" s="6"/>
      <c r="Y26" s="6" t="n">
        <f aca="false">W26-X26</f>
        <v>0</v>
      </c>
      <c r="Z26" s="9"/>
      <c r="AA26" s="9" t="n">
        <f aca="false">Y26-Z26</f>
        <v>0</v>
      </c>
      <c r="AB26" s="6" t="n">
        <f aca="false">H26+J26+L26+N26+P26+R26+T26+V26+X26+Z26</f>
        <v>4</v>
      </c>
      <c r="AC26" s="6" t="n">
        <f aca="false">G26-AB26</f>
        <v>0</v>
      </c>
    </row>
    <row r="27" customFormat="false" ht="15" hidden="false" customHeight="false" outlineLevel="0" collapsed="false">
      <c r="B27" s="6"/>
      <c r="C27" s="6"/>
      <c r="D27" s="7" t="s">
        <v>59</v>
      </c>
      <c r="E27" s="7" t="s">
        <v>28</v>
      </c>
      <c r="F27" s="6" t="s">
        <v>26</v>
      </c>
      <c r="G27" s="8" t="n">
        <v>3</v>
      </c>
      <c r="H27" s="6"/>
      <c r="I27" s="6" t="n">
        <f aca="false">G27-H27</f>
        <v>3</v>
      </c>
      <c r="J27" s="9"/>
      <c r="K27" s="9" t="n">
        <f aca="false">I27-J27</f>
        <v>3</v>
      </c>
      <c r="L27" s="8" t="n">
        <v>3</v>
      </c>
      <c r="M27" s="6" t="n">
        <f aca="false">K27-L27</f>
        <v>0</v>
      </c>
      <c r="N27" s="9"/>
      <c r="O27" s="9" t="n">
        <f aca="false">M27-N27</f>
        <v>0</v>
      </c>
      <c r="P27" s="6"/>
      <c r="Q27" s="6" t="n">
        <f aca="false">O27-P27</f>
        <v>0</v>
      </c>
      <c r="R27" s="9"/>
      <c r="S27" s="9" t="n">
        <f aca="false">Q27-R27</f>
        <v>0</v>
      </c>
      <c r="T27" s="6"/>
      <c r="U27" s="6" t="n">
        <f aca="false">S27-T27</f>
        <v>0</v>
      </c>
      <c r="V27" s="9"/>
      <c r="W27" s="9" t="n">
        <f aca="false">U27-V27</f>
        <v>0</v>
      </c>
      <c r="X27" s="6"/>
      <c r="Y27" s="6" t="n">
        <f aca="false">W27-X27</f>
        <v>0</v>
      </c>
      <c r="Z27" s="9"/>
      <c r="AA27" s="9" t="n">
        <f aca="false">Y27-Z27</f>
        <v>0</v>
      </c>
      <c r="AB27" s="6" t="n">
        <f aca="false">H27+J27+L27+N27+P27+R27+T27+V27+X27+Z27</f>
        <v>3</v>
      </c>
      <c r="AC27" s="6" t="n">
        <f aca="false">G27-AB27</f>
        <v>0</v>
      </c>
    </row>
    <row r="28" customFormat="false" ht="22.35" hidden="false" customHeight="false" outlineLevel="0" collapsed="false">
      <c r="B28" s="6"/>
      <c r="C28" s="6"/>
      <c r="D28" s="7" t="s">
        <v>60</v>
      </c>
      <c r="E28" s="7" t="s">
        <v>25</v>
      </c>
      <c r="F28" s="6" t="s">
        <v>26</v>
      </c>
      <c r="G28" s="8" t="n">
        <v>3</v>
      </c>
      <c r="H28" s="6"/>
      <c r="I28" s="6" t="n">
        <f aca="false">G28-H28</f>
        <v>3</v>
      </c>
      <c r="J28" s="9"/>
      <c r="K28" s="9" t="n">
        <f aca="false">I28-J28</f>
        <v>3</v>
      </c>
      <c r="L28" s="6"/>
      <c r="M28" s="6" t="n">
        <f aca="false">K28-L28</f>
        <v>3</v>
      </c>
      <c r="N28" s="10" t="n">
        <v>3</v>
      </c>
      <c r="O28" s="9" t="n">
        <f aca="false">M28-N28</f>
        <v>0</v>
      </c>
      <c r="P28" s="6"/>
      <c r="Q28" s="6" t="n">
        <f aca="false">O28-P28</f>
        <v>0</v>
      </c>
      <c r="R28" s="9"/>
      <c r="S28" s="9" t="n">
        <f aca="false">Q28-R28</f>
        <v>0</v>
      </c>
      <c r="T28" s="6"/>
      <c r="U28" s="6" t="n">
        <f aca="false">S28-T28</f>
        <v>0</v>
      </c>
      <c r="V28" s="9"/>
      <c r="W28" s="9" t="n">
        <f aca="false">U28-V28</f>
        <v>0</v>
      </c>
      <c r="X28" s="6"/>
      <c r="Y28" s="6" t="n">
        <f aca="false">W28-X28</f>
        <v>0</v>
      </c>
      <c r="Z28" s="9"/>
      <c r="AA28" s="9" t="n">
        <f aca="false">Y28-Z28</f>
        <v>0</v>
      </c>
      <c r="AB28" s="6" t="n">
        <f aca="false">H28+J28+L28+N28+P28+R28+T28+V28+X28+Z28</f>
        <v>3</v>
      </c>
      <c r="AC28" s="6" t="n">
        <f aca="false">G28-AB28</f>
        <v>0</v>
      </c>
    </row>
    <row r="29" customFormat="false" ht="15" hidden="false" customHeight="false" outlineLevel="0" collapsed="false">
      <c r="B29" s="6"/>
      <c r="C29" s="6"/>
      <c r="D29" s="7" t="s">
        <v>61</v>
      </c>
      <c r="E29" s="7" t="s">
        <v>25</v>
      </c>
      <c r="F29" s="6" t="s">
        <v>26</v>
      </c>
      <c r="G29" s="8" t="n">
        <v>2</v>
      </c>
      <c r="H29" s="6"/>
      <c r="I29" s="6" t="n">
        <f aca="false">G29-H29</f>
        <v>2</v>
      </c>
      <c r="J29" s="9"/>
      <c r="K29" s="9" t="n">
        <f aca="false">I29-J29</f>
        <v>2</v>
      </c>
      <c r="L29" s="6"/>
      <c r="M29" s="6" t="n">
        <f aca="false">K29-L29</f>
        <v>2</v>
      </c>
      <c r="N29" s="9"/>
      <c r="O29" s="9" t="n">
        <f aca="false">M29-N29</f>
        <v>2</v>
      </c>
      <c r="P29" s="6"/>
      <c r="Q29" s="6" t="n">
        <f aca="false">O29-P29</f>
        <v>2</v>
      </c>
      <c r="R29" s="9"/>
      <c r="S29" s="9" t="n">
        <f aca="false">Q29-R29</f>
        <v>2</v>
      </c>
      <c r="T29" s="6"/>
      <c r="U29" s="6" t="n">
        <f aca="false">S29-T29</f>
        <v>2</v>
      </c>
      <c r="V29" s="10" t="n">
        <v>2</v>
      </c>
      <c r="W29" s="9" t="n">
        <f aca="false">U29-V29</f>
        <v>0</v>
      </c>
      <c r="X29" s="6"/>
      <c r="Y29" s="6" t="n">
        <f aca="false">W29-X29</f>
        <v>0</v>
      </c>
      <c r="Z29" s="9"/>
      <c r="AA29" s="9" t="n">
        <f aca="false">Y29-Z29</f>
        <v>0</v>
      </c>
      <c r="AB29" s="6" t="n">
        <f aca="false">H29+J29+L29+N29+P29+R29+T29+V29+X29+Z29</f>
        <v>2</v>
      </c>
      <c r="AC29" s="6" t="n">
        <f aca="false">G29-AB29</f>
        <v>0</v>
      </c>
    </row>
    <row r="30" customFormat="false" ht="22.35" hidden="false" customHeight="true" outlineLevel="0" collapsed="false">
      <c r="B30" s="6" t="s">
        <v>62</v>
      </c>
      <c r="C30" s="7" t="s">
        <v>63</v>
      </c>
      <c r="D30" s="7" t="s">
        <v>64</v>
      </c>
      <c r="E30" s="7" t="s">
        <v>30</v>
      </c>
      <c r="F30" s="6" t="s">
        <v>26</v>
      </c>
      <c r="G30" s="8" t="n">
        <v>5</v>
      </c>
      <c r="H30" s="6"/>
      <c r="I30" s="6" t="n">
        <f aca="false">G30-H30</f>
        <v>5</v>
      </c>
      <c r="J30" s="9"/>
      <c r="K30" s="9" t="n">
        <f aca="false">I30-J30</f>
        <v>5</v>
      </c>
      <c r="L30" s="6"/>
      <c r="M30" s="6" t="n">
        <f aca="false">K30-L30</f>
        <v>5</v>
      </c>
      <c r="N30" s="9"/>
      <c r="O30" s="9" t="n">
        <f aca="false">M30-N30</f>
        <v>5</v>
      </c>
      <c r="P30" s="6"/>
      <c r="Q30" s="6" t="n">
        <f aca="false">O30-P30</f>
        <v>5</v>
      </c>
      <c r="R30" s="9"/>
      <c r="S30" s="9" t="n">
        <f aca="false">Q30-R30</f>
        <v>5</v>
      </c>
      <c r="T30" s="8" t="n">
        <v>3</v>
      </c>
      <c r="U30" s="6" t="n">
        <f aca="false">S30-T30</f>
        <v>2</v>
      </c>
      <c r="V30" s="10" t="n">
        <v>2</v>
      </c>
      <c r="W30" s="9" t="n">
        <f aca="false">U30-V30</f>
        <v>0</v>
      </c>
      <c r="X30" s="6"/>
      <c r="Y30" s="6" t="n">
        <f aca="false">W30-X30</f>
        <v>0</v>
      </c>
      <c r="Z30" s="9"/>
      <c r="AA30" s="9" t="n">
        <f aca="false">Y30-Z30</f>
        <v>0</v>
      </c>
      <c r="AB30" s="6" t="n">
        <f aca="false">H30+J30+L30+N30+P30+R30+T30+V30+X30+Z30</f>
        <v>5</v>
      </c>
      <c r="AC30" s="6" t="n">
        <f aca="false">G30-AB30</f>
        <v>0</v>
      </c>
    </row>
    <row r="31" customFormat="false" ht="22.35" hidden="false" customHeight="false" outlineLevel="0" collapsed="false">
      <c r="B31" s="6"/>
      <c r="C31" s="6"/>
      <c r="D31" s="7" t="s">
        <v>65</v>
      </c>
      <c r="E31" s="7" t="s">
        <v>28</v>
      </c>
      <c r="F31" s="6" t="s">
        <v>26</v>
      </c>
      <c r="G31" s="8" t="n">
        <v>5</v>
      </c>
      <c r="H31" s="6"/>
      <c r="I31" s="6" t="n">
        <f aca="false">G31-H31</f>
        <v>5</v>
      </c>
      <c r="J31" s="9"/>
      <c r="K31" s="9" t="n">
        <f aca="false">I31-J31</f>
        <v>5</v>
      </c>
      <c r="L31" s="6"/>
      <c r="M31" s="6" t="n">
        <f aca="false">K31-L31</f>
        <v>5</v>
      </c>
      <c r="N31" s="10" t="n">
        <v>4</v>
      </c>
      <c r="O31" s="9" t="n">
        <f aca="false">M31-N31</f>
        <v>1</v>
      </c>
      <c r="P31" s="8" t="n">
        <v>1</v>
      </c>
      <c r="Q31" s="6" t="n">
        <f aca="false">O31-P31</f>
        <v>0</v>
      </c>
      <c r="R31" s="9"/>
      <c r="S31" s="9" t="n">
        <f aca="false">Q31-R31</f>
        <v>0</v>
      </c>
      <c r="T31" s="6"/>
      <c r="U31" s="6" t="n">
        <f aca="false">S31-T31</f>
        <v>0</v>
      </c>
      <c r="V31" s="9"/>
      <c r="W31" s="9" t="n">
        <f aca="false">U31-V31</f>
        <v>0</v>
      </c>
      <c r="X31" s="6"/>
      <c r="Y31" s="6" t="n">
        <f aca="false">W31-X31</f>
        <v>0</v>
      </c>
      <c r="Z31" s="9"/>
      <c r="AA31" s="9" t="n">
        <f aca="false">Y31-Z31</f>
        <v>0</v>
      </c>
      <c r="AB31" s="6" t="n">
        <f aca="false">H31+J31+L31+N31+P31+R31+T31+V31+X31+Z31</f>
        <v>5</v>
      </c>
      <c r="AC31" s="6" t="n">
        <f aca="false">G31-AB31</f>
        <v>0</v>
      </c>
    </row>
    <row r="32" customFormat="false" ht="22.35" hidden="false" customHeight="false" outlineLevel="0" collapsed="false">
      <c r="B32" s="6"/>
      <c r="C32" s="6"/>
      <c r="D32" s="7" t="s">
        <v>66</v>
      </c>
      <c r="E32" s="7" t="s">
        <v>28</v>
      </c>
      <c r="F32" s="6" t="s">
        <v>26</v>
      </c>
      <c r="G32" s="8" t="n">
        <v>4</v>
      </c>
      <c r="H32" s="6"/>
      <c r="I32" s="6" t="n">
        <f aca="false">G32-H32</f>
        <v>4</v>
      </c>
      <c r="J32" s="9"/>
      <c r="K32" s="9" t="n">
        <f aca="false">I32-J32</f>
        <v>4</v>
      </c>
      <c r="L32" s="6"/>
      <c r="M32" s="6" t="n">
        <f aca="false">K32-L32</f>
        <v>4</v>
      </c>
      <c r="N32" s="9"/>
      <c r="O32" s="9" t="n">
        <f aca="false">M32-N32</f>
        <v>4</v>
      </c>
      <c r="P32" s="8" t="n">
        <v>3</v>
      </c>
      <c r="Q32" s="6" t="n">
        <f aca="false">O32-P32</f>
        <v>1</v>
      </c>
      <c r="R32" s="10" t="n">
        <v>1</v>
      </c>
      <c r="S32" s="9" t="n">
        <f aca="false">Q32-R32</f>
        <v>0</v>
      </c>
      <c r="T32" s="6"/>
      <c r="U32" s="6" t="n">
        <f aca="false">S32-T32</f>
        <v>0</v>
      </c>
      <c r="V32" s="9"/>
      <c r="W32" s="9" t="n">
        <f aca="false">U32-V32</f>
        <v>0</v>
      </c>
      <c r="X32" s="6"/>
      <c r="Y32" s="6" t="n">
        <f aca="false">W32-X32</f>
        <v>0</v>
      </c>
      <c r="Z32" s="9"/>
      <c r="AA32" s="9" t="n">
        <f aca="false">Y32-Z32</f>
        <v>0</v>
      </c>
      <c r="AB32" s="6" t="n">
        <f aca="false">H32+J32+L32+N32+P32+R32+T32+V32+X32+Z32</f>
        <v>4</v>
      </c>
      <c r="AC32" s="6" t="n">
        <f aca="false">G32-AB32</f>
        <v>0</v>
      </c>
    </row>
    <row r="33" customFormat="false" ht="22.35" hidden="false" customHeight="false" outlineLevel="0" collapsed="false">
      <c r="B33" s="6"/>
      <c r="C33" s="6"/>
      <c r="D33" s="7" t="s">
        <v>67</v>
      </c>
      <c r="E33" s="7" t="s">
        <v>25</v>
      </c>
      <c r="F33" s="6" t="s">
        <v>26</v>
      </c>
      <c r="G33" s="8" t="n">
        <v>4</v>
      </c>
      <c r="H33" s="6"/>
      <c r="I33" s="6" t="n">
        <f aca="false">G33-H33</f>
        <v>4</v>
      </c>
      <c r="J33" s="9"/>
      <c r="K33" s="9" t="n">
        <f aca="false">I33-J33</f>
        <v>4</v>
      </c>
      <c r="L33" s="6"/>
      <c r="M33" s="6" t="n">
        <f aca="false">K33-L33</f>
        <v>4</v>
      </c>
      <c r="N33" s="9"/>
      <c r="O33" s="9" t="n">
        <f aca="false">M33-N33</f>
        <v>4</v>
      </c>
      <c r="P33" s="6"/>
      <c r="Q33" s="6" t="n">
        <f aca="false">O33-P33</f>
        <v>4</v>
      </c>
      <c r="R33" s="9"/>
      <c r="S33" s="9" t="n">
        <f aca="false">Q33-R33</f>
        <v>4</v>
      </c>
      <c r="T33" s="6"/>
      <c r="U33" s="6" t="n">
        <f aca="false">S33-T33</f>
        <v>4</v>
      </c>
      <c r="V33" s="9"/>
      <c r="W33" s="9" t="n">
        <f aca="false">U33-V33</f>
        <v>4</v>
      </c>
      <c r="X33" s="8" t="n">
        <v>4</v>
      </c>
      <c r="Y33" s="6" t="n">
        <f aca="false">W33-X33</f>
        <v>0</v>
      </c>
      <c r="Z33" s="9"/>
      <c r="AA33" s="9" t="n">
        <f aca="false">Y33-Z33</f>
        <v>0</v>
      </c>
      <c r="AB33" s="6" t="n">
        <f aca="false">H33+J33+L33+N33+P33+R33+T33+V33+X33+Z33</f>
        <v>4</v>
      </c>
      <c r="AC33" s="6" t="n">
        <f aca="false">G33-AB33</f>
        <v>0</v>
      </c>
    </row>
    <row r="34" customFormat="false" ht="15" hidden="false" customHeight="false" outlineLevel="0" collapsed="false">
      <c r="B34" s="11" t="s">
        <v>68</v>
      </c>
      <c r="C34" s="11"/>
      <c r="D34" s="11"/>
      <c r="E34" s="11"/>
      <c r="F34" s="11"/>
      <c r="G34" s="5" t="n">
        <f aca="false">SUM(G6:G33)</f>
        <v>112</v>
      </c>
      <c r="H34" s="5" t="n">
        <f aca="false">SUM(H6:H33)</f>
        <v>18</v>
      </c>
      <c r="I34" s="5" t="n">
        <f aca="false">SUM(I6:I33)</f>
        <v>94</v>
      </c>
      <c r="J34" s="5" t="n">
        <f aca="false">SUM(J6:J33)</f>
        <v>18</v>
      </c>
      <c r="K34" s="5" t="n">
        <f aca="false">SUM(K6:K33)</f>
        <v>76</v>
      </c>
      <c r="L34" s="5" t="n">
        <f aca="false">SUM(L6:L33)</f>
        <v>18</v>
      </c>
      <c r="M34" s="5" t="n">
        <f aca="false">SUM(M6:M33)</f>
        <v>58</v>
      </c>
      <c r="N34" s="5" t="n">
        <f aca="false">SUM(N6:N33)</f>
        <v>18</v>
      </c>
      <c r="O34" s="5" t="n">
        <f aca="false">SUM(O6:O33)</f>
        <v>40</v>
      </c>
      <c r="P34" s="5" t="n">
        <f aca="false">SUM(P6:P33)</f>
        <v>12</v>
      </c>
      <c r="Q34" s="5" t="n">
        <f aca="false">SUM(Q6:Q33)</f>
        <v>28</v>
      </c>
      <c r="R34" s="5" t="n">
        <f aca="false">SUM(R6:R33)</f>
        <v>11</v>
      </c>
      <c r="S34" s="5" t="n">
        <f aca="false">SUM(S6:S33)</f>
        <v>17</v>
      </c>
      <c r="T34" s="5" t="n">
        <f aca="false">SUM(T6:T33)</f>
        <v>9</v>
      </c>
      <c r="U34" s="5" t="n">
        <f aca="false">SUM(U6:U33)</f>
        <v>8</v>
      </c>
      <c r="V34" s="5" t="n">
        <f aca="false">SUM(V6:V33)</f>
        <v>4</v>
      </c>
      <c r="W34" s="5" t="n">
        <f aca="false">SUM(W6:W33)</f>
        <v>4</v>
      </c>
      <c r="X34" s="5" t="n">
        <f aca="false">SUM(X6:X33)</f>
        <v>4</v>
      </c>
      <c r="Y34" s="5" t="n">
        <f aca="false">SUM(Y6:Y33)</f>
        <v>0</v>
      </c>
      <c r="Z34" s="5" t="n">
        <f aca="false">SUM(Z6:Z33)</f>
        <v>0</v>
      </c>
      <c r="AA34" s="5" t="n">
        <f aca="false">SUM(AA6:AA33)</f>
        <v>0</v>
      </c>
      <c r="AB34" s="5" t="n">
        <f aca="false">SUM(AB6:AB33)</f>
        <v>112</v>
      </c>
      <c r="AC34" s="5" t="n">
        <f aca="false">SUM(AC6:AC33)</f>
        <v>0</v>
      </c>
    </row>
    <row r="36" customFormat="false" ht="15" hidden="false" customHeight="false" outlineLevel="0" collapsed="false">
      <c r="B36" s="3" t="s">
        <v>69</v>
      </c>
    </row>
    <row r="37" customFormat="false" ht="15" hidden="false" customHeight="false" outlineLevel="0" collapsed="false">
      <c r="B37" s="3" t="s">
        <v>70</v>
      </c>
    </row>
    <row r="38" customFormat="false" ht="15" hidden="false" customHeight="false" outlineLevel="0" collapsed="false">
      <c r="B38" s="3" t="s">
        <v>71</v>
      </c>
    </row>
  </sheetData>
  <mergeCells count="32">
    <mergeCell ref="B4:B5"/>
    <mergeCell ref="C4:C5"/>
    <mergeCell ref="D4:D5"/>
    <mergeCell ref="E4:E5"/>
    <mergeCell ref="F4:F5"/>
    <mergeCell ref="G4:G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6:B9"/>
    <mergeCell ref="C6:C9"/>
    <mergeCell ref="B10:B13"/>
    <mergeCell ref="C10:C13"/>
    <mergeCell ref="B14:B17"/>
    <mergeCell ref="C14:C17"/>
    <mergeCell ref="B18:B21"/>
    <mergeCell ref="C18:C21"/>
    <mergeCell ref="B22:B25"/>
    <mergeCell ref="C22:C25"/>
    <mergeCell ref="B26:B29"/>
    <mergeCell ref="C26:C29"/>
    <mergeCell ref="B30:B33"/>
    <mergeCell ref="C30:C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2026-10-12T03:19:15Z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