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6 - Gestión Proyec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<sst xmlns="http://schemas.openxmlformats.org/spreadsheetml/2006/main" count="105" uniqueCount="57">
  <si>
    <t xml:space="preserve">Metodologías ágiles: Lista de tareas de la iteración</t>
  </si>
  <si>
    <t xml:space="preserve">(Sprint Backlog) — Sprint 6 - QA final, lanzamiento y funcionalidades condicionales  |  03/11/2026 al 14/11/2026  |  Estado: Planificado</t>
  </si>
  <si>
    <t xml:space="preserve">Elaborado por: pmoinformatica.com — Proyecto Plataforma Web Integral Sinergi</t>
  </si>
  <si>
    <t xml:space="preserve">Identificador (ID) de item de product backlog</t>
  </si>
  <si>
    <t xml:space="preserve">Enunciado del item de Product Backlog</t>
  </si>
  <si>
    <t xml:space="preserve">Tarea</t>
  </si>
  <si>
    <t xml:space="preserve">Dueño / Voluntario</t>
  </si>
  <si>
    <t xml:space="preserve">Estatus</t>
  </si>
  <si>
    <t xml:space="preserve">Horas estimadas totales</t>
  </si>
  <si>
    <t xml:space="preserve">Día 1</t>
  </si>
  <si>
    <t xml:space="preserve">Día 2</t>
  </si>
  <si>
    <t xml:space="preserve">Día 3</t>
  </si>
  <si>
    <t xml:space="preserve">Día 4</t>
  </si>
  <si>
    <t xml:space="preserve">Día 5</t>
  </si>
  <si>
    <t xml:space="preserve">Día 6</t>
  </si>
  <si>
    <t xml:space="preserve">Día 7</t>
  </si>
  <si>
    <t xml:space="preserve">Día 8</t>
  </si>
  <si>
    <t xml:space="preserve">Día 9</t>
  </si>
  <si>
    <t xml:space="preserve">Día 10</t>
  </si>
  <si>
    <t xml:space="preserve">Total</t>
  </si>
  <si>
    <t xml:space="preserve">Cons.</t>
  </si>
  <si>
    <t xml:space="preserve">Rest.</t>
  </si>
  <si>
    <t xml:space="preserve">SNG-EP05-T07</t>
  </si>
  <si>
    <t xml:space="preserve">Como equipo de desarrollo, necesitamos ejecutar el QA final por rol (cliente, empleado, admin), con la finalidad de asegurar la calidad antes del lanzamiento.</t>
  </si>
  <si>
    <t xml:space="preserve">Plan de pruebas por rol de usuario</t>
  </si>
  <si>
    <t xml:space="preserve">Marco Gonzalez</t>
  </si>
  <si>
    <t xml:space="preserve">Pendiente</t>
  </si>
  <si>
    <t xml:space="preserve">Ejecución de pruebas rol cliente y empleado</t>
  </si>
  <si>
    <t xml:space="preserve">Simon Benavente</t>
  </si>
  <si>
    <t xml:space="preserve">Ejecución de pruebas rol administrador</t>
  </si>
  <si>
    <t xml:space="preserve">Corrección de defectos encontrados</t>
  </si>
  <si>
    <t xml:space="preserve">Bruno Zuñiga</t>
  </si>
  <si>
    <t xml:space="preserve">SNG-EP05-T08</t>
  </si>
  <si>
    <t xml:space="preserve">Como equipo de desarrollo, necesitamos desplegar la plataforma en el VPS de Sinergi, con la finalidad de dejar el sistema operativo para el lanzamiento.</t>
  </si>
  <si>
    <t xml:space="preserve">Configuración del VPS de producción y HTTPS (reverse proxy)</t>
  </si>
  <si>
    <t xml:space="preserve">Respaldo de base de datos y del volumen /media/</t>
  </si>
  <si>
    <t xml:space="preserve">Pruebas de humo en producción</t>
  </si>
  <si>
    <t xml:space="preserve">SNG-EP05-T09</t>
  </si>
  <si>
    <t xml:space="preserve">Como equipo de desarrollo, necesitamos capacitar a Sinergi en el uso del panel de administración, con la finalidad de que la empresa opere la plataforma de forma autónoma.</t>
  </si>
  <si>
    <t xml:space="preserve">Manual de uso del panel de administración</t>
  </si>
  <si>
    <t xml:space="preserve">Sesión de capacitación con Sinergi</t>
  </si>
  <si>
    <t xml:space="preserve">SNG-EP06-01</t>
  </si>
  <si>
    <t xml:space="preserve">Como un administrador, necesito registrar y consultar de forma básica el stock de herramientas y equipos de la empresa en un módulo independiente, con la finalidad de mantener un control interno básico de inventario</t>
  </si>
  <si>
    <t xml:space="preserve">Modelo de inventario aislado del módulo de proyectos</t>
  </si>
  <si>
    <t xml:space="preserve">Registro, listado y consulta de ítems de inventario</t>
  </si>
  <si>
    <t xml:space="preserve">Pruebas de registro y de aislamiento con proyectos</t>
  </si>
  <si>
    <t xml:space="preserve">SNG-EP01-04</t>
  </si>
  <si>
    <t xml:space="preserve">Como un visitante del sitio, necesito poder cambiar el idioma del sitio público a inglés, con la finalidad de acceder a la información institucional en mi idioma</t>
  </si>
  <si>
    <t xml:space="preserve">Configuración de i18n en Django</t>
  </si>
  <si>
    <t xml:space="preserve">Traducción del contenido institucional al inglés</t>
  </si>
  <si>
    <t xml:space="preserve">Selector de idioma en el sitio público</t>
  </si>
  <si>
    <t xml:space="preserve">Pruebas de cambio de idioma</t>
  </si>
  <si>
    <t xml:space="preserve">Total del Sprint</t>
  </si>
  <si>
    <t xml:space="preserve">Leyenda: los números en azul son datos ingresados (horas estimadas y horas consumidas por día); las celdas en negro son fórmulas.</t>
  </si>
  <si>
    <t xml:space="preserve">Cons. = horas consumidas ese día. Rest. = horas restantes de la tarea (se calcula sola: restante del día anterior − consumido del día).</t>
  </si>
  <si>
    <t xml:space="preserve">Duración del sprint: 2 semanas = 10 días hábiles. Días registrados a la fecha: 0 de 10.</t>
  </si>
  <si>
    <t xml:space="preserve">Sprint planificado: aún sin avance. Registre las horas consumidas por día en las columnas Cons. durante la ejecución.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</si>
</sst>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H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29" min="8" style="0" width="6.5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4" customFormat="false" ht="15" hidden="false" customHeight="true" outlineLevel="0" collapsed="false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/>
      <c r="J4" s="4" t="s">
        <v>10</v>
      </c>
      <c r="K4" s="4"/>
      <c r="L4" s="4" t="s">
        <v>11</v>
      </c>
      <c r="M4" s="4"/>
      <c r="N4" s="4" t="s">
        <v>12</v>
      </c>
      <c r="O4" s="4"/>
      <c r="P4" s="4" t="s">
        <v>13</v>
      </c>
      <c r="Q4" s="4"/>
      <c r="R4" s="4" t="s">
        <v>14</v>
      </c>
      <c r="S4" s="4"/>
      <c r="T4" s="4" t="s">
        <v>15</v>
      </c>
      <c r="U4" s="4"/>
      <c r="V4" s="4" t="s">
        <v>16</v>
      </c>
      <c r="W4" s="4"/>
      <c r="X4" s="4" t="s">
        <v>17</v>
      </c>
      <c r="Y4" s="4"/>
      <c r="Z4" s="4" t="s">
        <v>18</v>
      </c>
      <c r="AA4" s="4"/>
      <c r="AB4" s="4" t="s">
        <v>19</v>
      </c>
      <c r="AC4" s="4"/>
    </row>
    <row r="5" customFormat="false" ht="15" hidden="false" customHeight="false" outlineLevel="0" collapsed="false">
      <c r="B5" s="4"/>
      <c r="C5" s="4"/>
      <c r="D5" s="4"/>
      <c r="E5" s="4"/>
      <c r="F5" s="4"/>
      <c r="G5" s="4"/>
      <c r="H5" s="5" t="s">
        <v>20</v>
      </c>
      <c r="I5" s="5" t="s">
        <v>21</v>
      </c>
      <c r="J5" s="5" t="s">
        <v>20</v>
      </c>
      <c r="K5" s="5" t="s">
        <v>21</v>
      </c>
      <c r="L5" s="5" t="s">
        <v>20</v>
      </c>
      <c r="M5" s="5" t="s">
        <v>21</v>
      </c>
      <c r="N5" s="5" t="s">
        <v>20</v>
      </c>
      <c r="O5" s="5" t="s">
        <v>21</v>
      </c>
      <c r="P5" s="5" t="s">
        <v>20</v>
      </c>
      <c r="Q5" s="5" t="s">
        <v>21</v>
      </c>
      <c r="R5" s="5" t="s">
        <v>20</v>
      </c>
      <c r="S5" s="5" t="s">
        <v>21</v>
      </c>
      <c r="T5" s="5" t="s">
        <v>20</v>
      </c>
      <c r="U5" s="5" t="s">
        <v>21</v>
      </c>
      <c r="V5" s="5" t="s">
        <v>20</v>
      </c>
      <c r="W5" s="5" t="s">
        <v>21</v>
      </c>
      <c r="X5" s="5" t="s">
        <v>20</v>
      </c>
      <c r="Y5" s="5" t="s">
        <v>21</v>
      </c>
      <c r="Z5" s="5" t="s">
        <v>20</v>
      </c>
      <c r="AA5" s="5" t="s">
        <v>21</v>
      </c>
      <c r="AB5" s="5" t="s">
        <v>20</v>
      </c>
      <c r="AC5" s="5" t="s">
        <v>21</v>
      </c>
    </row>
    <row r="6" customFormat="false" ht="15" hidden="false" customHeight="true" outlineLevel="0" collapsed="false">
      <c r="B6" s="6" t="s">
        <v>22</v>
      </c>
      <c r="C6" s="7" t="s">
        <v>23</v>
      </c>
      <c r="D6" s="7" t="s">
        <v>24</v>
      </c>
      <c r="E6" s="7" t="s">
        <v>25</v>
      </c>
      <c r="F6" s="6" t="s">
        <v>26</v>
      </c>
      <c r="G6" s="8" t="n">
        <v>3</v>
      </c>
      <c r="H6" s="6"/>
      <c r="I6" s="6" t="n">
        <f aca="false">G6-H6</f>
        <v>3</v>
      </c>
      <c r="J6" s="9"/>
      <c r="K6" s="9" t="n">
        <f aca="false">I6-J6</f>
        <v>3</v>
      </c>
      <c r="L6" s="6"/>
      <c r="M6" s="6" t="n">
        <f aca="false">K6-L6</f>
        <v>3</v>
      </c>
      <c r="N6" s="9"/>
      <c r="O6" s="9" t="n">
        <f aca="false">M6-N6</f>
        <v>3</v>
      </c>
      <c r="P6" s="6"/>
      <c r="Q6" s="6" t="n">
        <f aca="false">O6-P6</f>
        <v>3</v>
      </c>
      <c r="R6" s="9"/>
      <c r="S6" s="9" t="n">
        <f aca="false">Q6-R6</f>
        <v>3</v>
      </c>
      <c r="T6" s="6"/>
      <c r="U6" s="6" t="n">
        <f aca="false">S6-T6</f>
        <v>3</v>
      </c>
      <c r="V6" s="9"/>
      <c r="W6" s="9" t="n">
        <f aca="false">U6-V6</f>
        <v>3</v>
      </c>
      <c r="X6" s="6"/>
      <c r="Y6" s="6" t="n">
        <f aca="false">W6-X6</f>
        <v>3</v>
      </c>
      <c r="Z6" s="9"/>
      <c r="AA6" s="9" t="n">
        <f aca="false">Y6-Z6</f>
        <v>3</v>
      </c>
      <c r="AB6" s="6" t="n">
        <f aca="false">H6+J6+L6+N6+P6+R6+T6+V6+X6+Z6</f>
        <v>0</v>
      </c>
      <c r="AC6" s="6" t="n">
        <f aca="false">G6-AB6</f>
        <v>3</v>
      </c>
    </row>
    <row r="7" customFormat="false" ht="15" hidden="false" customHeight="false" outlineLevel="0" collapsed="false">
      <c r="B7" s="6"/>
      <c r="C7" s="6"/>
      <c r="D7" s="7" t="s">
        <v>27</v>
      </c>
      <c r="E7" s="7" t="s">
        <v>28</v>
      </c>
      <c r="F7" s="6" t="s">
        <v>26</v>
      </c>
      <c r="G7" s="8" t="n">
        <v>4</v>
      </c>
      <c r="H7" s="6"/>
      <c r="I7" s="6" t="n">
        <f aca="false">G7-H7</f>
        <v>4</v>
      </c>
      <c r="J7" s="9"/>
      <c r="K7" s="9" t="n">
        <f aca="false">I7-J7</f>
        <v>4</v>
      </c>
      <c r="L7" s="6"/>
      <c r="M7" s="6" t="n">
        <f aca="false">K7-L7</f>
        <v>4</v>
      </c>
      <c r="N7" s="9"/>
      <c r="O7" s="9" t="n">
        <f aca="false">M7-N7</f>
        <v>4</v>
      </c>
      <c r="P7" s="6"/>
      <c r="Q7" s="6" t="n">
        <f aca="false">O7-P7</f>
        <v>4</v>
      </c>
      <c r="R7" s="9"/>
      <c r="S7" s="9" t="n">
        <f aca="false">Q7-R7</f>
        <v>4</v>
      </c>
      <c r="T7" s="6"/>
      <c r="U7" s="6" t="n">
        <f aca="false">S7-T7</f>
        <v>4</v>
      </c>
      <c r="V7" s="9"/>
      <c r="W7" s="9" t="n">
        <f aca="false">U7-V7</f>
        <v>4</v>
      </c>
      <c r="X7" s="6"/>
      <c r="Y7" s="6" t="n">
        <f aca="false">W7-X7</f>
        <v>4</v>
      </c>
      <c r="Z7" s="9"/>
      <c r="AA7" s="9" t="n">
        <f aca="false">Y7-Z7</f>
        <v>4</v>
      </c>
      <c r="AB7" s="6" t="n">
        <f aca="false">H7+J7+L7+N7+P7+R7+T7+V7+X7+Z7</f>
        <v>0</v>
      </c>
      <c r="AC7" s="6" t="n">
        <f aca="false">G7-AB7</f>
        <v>4</v>
      </c>
    </row>
    <row r="8" customFormat="false" ht="15" hidden="false" customHeight="false" outlineLevel="0" collapsed="false">
      <c r="B8" s="6"/>
      <c r="C8" s="6"/>
      <c r="D8" s="7" t="s">
        <v>29</v>
      </c>
      <c r="E8" s="7" t="s">
        <v>25</v>
      </c>
      <c r="F8" s="6" t="s">
        <v>26</v>
      </c>
      <c r="G8" s="8" t="n">
        <v>3</v>
      </c>
      <c r="H8" s="6"/>
      <c r="I8" s="6" t="n">
        <f aca="false">G8-H8</f>
        <v>3</v>
      </c>
      <c r="J8" s="9"/>
      <c r="K8" s="9" t="n">
        <f aca="false">I8-J8</f>
        <v>3</v>
      </c>
      <c r="L8" s="6"/>
      <c r="M8" s="6" t="n">
        <f aca="false">K8-L8</f>
        <v>3</v>
      </c>
      <c r="N8" s="9"/>
      <c r="O8" s="9" t="n">
        <f aca="false">M8-N8</f>
        <v>3</v>
      </c>
      <c r="P8" s="6"/>
      <c r="Q8" s="6" t="n">
        <f aca="false">O8-P8</f>
        <v>3</v>
      </c>
      <c r="R8" s="9"/>
      <c r="S8" s="9" t="n">
        <f aca="false">Q8-R8</f>
        <v>3</v>
      </c>
      <c r="T8" s="6"/>
      <c r="U8" s="6" t="n">
        <f aca="false">S8-T8</f>
        <v>3</v>
      </c>
      <c r="V8" s="9"/>
      <c r="W8" s="9" t="n">
        <f aca="false">U8-V8</f>
        <v>3</v>
      </c>
      <c r="X8" s="6"/>
      <c r="Y8" s="6" t="n">
        <f aca="false">W8-X8</f>
        <v>3</v>
      </c>
      <c r="Z8" s="9"/>
      <c r="AA8" s="9" t="n">
        <f aca="false">Y8-Z8</f>
        <v>3</v>
      </c>
      <c r="AB8" s="6" t="n">
        <f aca="false">H8+J8+L8+N8+P8+R8+T8+V8+X8+Z8</f>
        <v>0</v>
      </c>
      <c r="AC8" s="6" t="n">
        <f aca="false">G8-AB8</f>
        <v>3</v>
      </c>
    </row>
    <row r="9" customFormat="false" ht="15" hidden="false" customHeight="false" outlineLevel="0" collapsed="false">
      <c r="B9" s="6"/>
      <c r="C9" s="6"/>
      <c r="D9" s="7" t="s">
        <v>30</v>
      </c>
      <c r="E9" s="7" t="s">
        <v>31</v>
      </c>
      <c r="F9" s="6" t="s">
        <v>26</v>
      </c>
      <c r="G9" s="8" t="n">
        <v>4</v>
      </c>
      <c r="H9" s="6"/>
      <c r="I9" s="6" t="n">
        <f aca="false">G9-H9</f>
        <v>4</v>
      </c>
      <c r="J9" s="9"/>
      <c r="K9" s="9" t="n">
        <f aca="false">I9-J9</f>
        <v>4</v>
      </c>
      <c r="L9" s="6"/>
      <c r="M9" s="6" t="n">
        <f aca="false">K9-L9</f>
        <v>4</v>
      </c>
      <c r="N9" s="9"/>
      <c r="O9" s="9" t="n">
        <f aca="false">M9-N9</f>
        <v>4</v>
      </c>
      <c r="P9" s="6"/>
      <c r="Q9" s="6" t="n">
        <f aca="false">O9-P9</f>
        <v>4</v>
      </c>
      <c r="R9" s="9"/>
      <c r="S9" s="9" t="n">
        <f aca="false">Q9-R9</f>
        <v>4</v>
      </c>
      <c r="T9" s="6"/>
      <c r="U9" s="6" t="n">
        <f aca="false">S9-T9</f>
        <v>4</v>
      </c>
      <c r="V9" s="9"/>
      <c r="W9" s="9" t="n">
        <f aca="false">U9-V9</f>
        <v>4</v>
      </c>
      <c r="X9" s="6"/>
      <c r="Y9" s="6" t="n">
        <f aca="false">W9-X9</f>
        <v>4</v>
      </c>
      <c r="Z9" s="9"/>
      <c r="AA9" s="9" t="n">
        <f aca="false">Y9-Z9</f>
        <v>4</v>
      </c>
      <c r="AB9" s="6" t="n">
        <f aca="false">H9+J9+L9+N9+P9+R9+T9+V9+X9+Z9</f>
        <v>0</v>
      </c>
      <c r="AC9" s="6" t="n">
        <f aca="false">G9-AB9</f>
        <v>4</v>
      </c>
    </row>
    <row r="10" customFormat="false" ht="22.35" hidden="false" customHeight="true" outlineLevel="0" collapsed="false">
      <c r="B10" s="6" t="s">
        <v>32</v>
      </c>
      <c r="C10" s="7" t="s">
        <v>33</v>
      </c>
      <c r="D10" s="7" t="s">
        <v>34</v>
      </c>
      <c r="E10" s="7" t="s">
        <v>31</v>
      </c>
      <c r="F10" s="6" t="s">
        <v>26</v>
      </c>
      <c r="G10" s="8" t="n">
        <v>4</v>
      </c>
      <c r="H10" s="6"/>
      <c r="I10" s="6" t="n">
        <f aca="false">G10-H10</f>
        <v>4</v>
      </c>
      <c r="J10" s="9"/>
      <c r="K10" s="9" t="n">
        <f aca="false">I10-J10</f>
        <v>4</v>
      </c>
      <c r="L10" s="6"/>
      <c r="M10" s="6" t="n">
        <f aca="false">K10-L10</f>
        <v>4</v>
      </c>
      <c r="N10" s="9"/>
      <c r="O10" s="9" t="n">
        <f aca="false">M10-N10</f>
        <v>4</v>
      </c>
      <c r="P10" s="6"/>
      <c r="Q10" s="6" t="n">
        <f aca="false">O10-P10</f>
        <v>4</v>
      </c>
      <c r="R10" s="9"/>
      <c r="S10" s="9" t="n">
        <f aca="false">Q10-R10</f>
        <v>4</v>
      </c>
      <c r="T10" s="6"/>
      <c r="U10" s="6" t="n">
        <f aca="false">S10-T10</f>
        <v>4</v>
      </c>
      <c r="V10" s="9"/>
      <c r="W10" s="9" t="n">
        <f aca="false">U10-V10</f>
        <v>4</v>
      </c>
      <c r="X10" s="6"/>
      <c r="Y10" s="6" t="n">
        <f aca="false">W10-X10</f>
        <v>4</v>
      </c>
      <c r="Z10" s="9"/>
      <c r="AA10" s="9" t="n">
        <f aca="false">Y10-Z10</f>
        <v>4</v>
      </c>
      <c r="AB10" s="6" t="n">
        <f aca="false">H10+J10+L10+N10+P10+R10+T10+V10+X10+Z10</f>
        <v>0</v>
      </c>
      <c r="AC10" s="6" t="n">
        <f aca="false">G10-AB10</f>
        <v>4</v>
      </c>
    </row>
    <row r="11" customFormat="false" ht="15" hidden="false" customHeight="false" outlineLevel="0" collapsed="false">
      <c r="B11" s="6"/>
      <c r="C11" s="6"/>
      <c r="D11" s="7" t="s">
        <v>35</v>
      </c>
      <c r="E11" s="7" t="s">
        <v>31</v>
      </c>
      <c r="F11" s="6" t="s">
        <v>26</v>
      </c>
      <c r="G11" s="8" t="n">
        <v>2</v>
      </c>
      <c r="H11" s="6"/>
      <c r="I11" s="6" t="n">
        <f aca="false">G11-H11</f>
        <v>2</v>
      </c>
      <c r="J11" s="9"/>
      <c r="K11" s="9" t="n">
        <f aca="false">I11-J11</f>
        <v>2</v>
      </c>
      <c r="L11" s="6"/>
      <c r="M11" s="6" t="n">
        <f aca="false">K11-L11</f>
        <v>2</v>
      </c>
      <c r="N11" s="9"/>
      <c r="O11" s="9" t="n">
        <f aca="false">M11-N11</f>
        <v>2</v>
      </c>
      <c r="P11" s="6"/>
      <c r="Q11" s="6" t="n">
        <f aca="false">O11-P11</f>
        <v>2</v>
      </c>
      <c r="R11" s="9"/>
      <c r="S11" s="9" t="n">
        <f aca="false">Q11-R11</f>
        <v>2</v>
      </c>
      <c r="T11" s="6"/>
      <c r="U11" s="6" t="n">
        <f aca="false">S11-T11</f>
        <v>2</v>
      </c>
      <c r="V11" s="9"/>
      <c r="W11" s="9" t="n">
        <f aca="false">U11-V11</f>
        <v>2</v>
      </c>
      <c r="X11" s="6"/>
      <c r="Y11" s="6" t="n">
        <f aca="false">W11-X11</f>
        <v>2</v>
      </c>
      <c r="Z11" s="9"/>
      <c r="AA11" s="9" t="n">
        <f aca="false">Y11-Z11</f>
        <v>2</v>
      </c>
      <c r="AB11" s="6" t="n">
        <f aca="false">H11+J11+L11+N11+P11+R11+T11+V11+X11+Z11</f>
        <v>0</v>
      </c>
      <c r="AC11" s="6" t="n">
        <f aca="false">G11-AB11</f>
        <v>2</v>
      </c>
    </row>
    <row r="12" customFormat="false" ht="15" hidden="false" customHeight="false" outlineLevel="0" collapsed="false">
      <c r="B12" s="6"/>
      <c r="C12" s="6"/>
      <c r="D12" s="7" t="s">
        <v>36</v>
      </c>
      <c r="E12" s="7" t="s">
        <v>25</v>
      </c>
      <c r="F12" s="6" t="s">
        <v>26</v>
      </c>
      <c r="G12" s="8" t="n">
        <v>2</v>
      </c>
      <c r="H12" s="6"/>
      <c r="I12" s="6" t="n">
        <f aca="false">G12-H12</f>
        <v>2</v>
      </c>
      <c r="J12" s="9"/>
      <c r="K12" s="9" t="n">
        <f aca="false">I12-J12</f>
        <v>2</v>
      </c>
      <c r="L12" s="6"/>
      <c r="M12" s="6" t="n">
        <f aca="false">K12-L12</f>
        <v>2</v>
      </c>
      <c r="N12" s="9"/>
      <c r="O12" s="9" t="n">
        <f aca="false">M12-N12</f>
        <v>2</v>
      </c>
      <c r="P12" s="6"/>
      <c r="Q12" s="6" t="n">
        <f aca="false">O12-P12</f>
        <v>2</v>
      </c>
      <c r="R12" s="9"/>
      <c r="S12" s="9" t="n">
        <f aca="false">Q12-R12</f>
        <v>2</v>
      </c>
      <c r="T12" s="6"/>
      <c r="U12" s="6" t="n">
        <f aca="false">S12-T12</f>
        <v>2</v>
      </c>
      <c r="V12" s="9"/>
      <c r="W12" s="9" t="n">
        <f aca="false">U12-V12</f>
        <v>2</v>
      </c>
      <c r="X12" s="6"/>
      <c r="Y12" s="6" t="n">
        <f aca="false">W12-X12</f>
        <v>2</v>
      </c>
      <c r="Z12" s="9"/>
      <c r="AA12" s="9" t="n">
        <f aca="false">Y12-Z12</f>
        <v>2</v>
      </c>
      <c r="AB12" s="6" t="n">
        <f aca="false">H12+J12+L12+N12+P12+R12+T12+V12+X12+Z12</f>
        <v>0</v>
      </c>
      <c r="AC12" s="6" t="n">
        <f aca="false">G12-AB12</f>
        <v>2</v>
      </c>
    </row>
    <row r="13" customFormat="false" ht="15" hidden="false" customHeight="true" outlineLevel="0" collapsed="false">
      <c r="B13" s="6" t="s">
        <v>37</v>
      </c>
      <c r="C13" s="7" t="s">
        <v>38</v>
      </c>
      <c r="D13" s="7" t="s">
        <v>39</v>
      </c>
      <c r="E13" s="7" t="s">
        <v>28</v>
      </c>
      <c r="F13" s="6" t="s">
        <v>26</v>
      </c>
      <c r="G13" s="8" t="n">
        <v>3</v>
      </c>
      <c r="H13" s="6"/>
      <c r="I13" s="6" t="n">
        <f aca="false">G13-H13</f>
        <v>3</v>
      </c>
      <c r="J13" s="9"/>
      <c r="K13" s="9" t="n">
        <f aca="false">I13-J13</f>
        <v>3</v>
      </c>
      <c r="L13" s="6"/>
      <c r="M13" s="6" t="n">
        <f aca="false">K13-L13</f>
        <v>3</v>
      </c>
      <c r="N13" s="9"/>
      <c r="O13" s="9" t="n">
        <f aca="false">M13-N13</f>
        <v>3</v>
      </c>
      <c r="P13" s="6"/>
      <c r="Q13" s="6" t="n">
        <f aca="false">O13-P13</f>
        <v>3</v>
      </c>
      <c r="R13" s="9"/>
      <c r="S13" s="9" t="n">
        <f aca="false">Q13-R13</f>
        <v>3</v>
      </c>
      <c r="T13" s="6"/>
      <c r="U13" s="6" t="n">
        <f aca="false">S13-T13</f>
        <v>3</v>
      </c>
      <c r="V13" s="9"/>
      <c r="W13" s="9" t="n">
        <f aca="false">U13-V13</f>
        <v>3</v>
      </c>
      <c r="X13" s="6"/>
      <c r="Y13" s="6" t="n">
        <f aca="false">W13-X13</f>
        <v>3</v>
      </c>
      <c r="Z13" s="9"/>
      <c r="AA13" s="9" t="n">
        <f aca="false">Y13-Z13</f>
        <v>3</v>
      </c>
      <c r="AB13" s="6" t="n">
        <f aca="false">H13+J13+L13+N13+P13+R13+T13+V13+X13+Z13</f>
        <v>0</v>
      </c>
      <c r="AC13" s="6" t="n">
        <f aca="false">G13-AB13</f>
        <v>3</v>
      </c>
    </row>
    <row r="14" customFormat="false" ht="15" hidden="false" customHeight="false" outlineLevel="0" collapsed="false">
      <c r="B14" s="6"/>
      <c r="C14" s="6"/>
      <c r="D14" s="7" t="s">
        <v>40</v>
      </c>
      <c r="E14" s="7" t="s">
        <v>25</v>
      </c>
      <c r="F14" s="6" t="s">
        <v>26</v>
      </c>
      <c r="G14" s="8" t="n">
        <v>3</v>
      </c>
      <c r="H14" s="6"/>
      <c r="I14" s="6" t="n">
        <f aca="false">G14-H14</f>
        <v>3</v>
      </c>
      <c r="J14" s="9"/>
      <c r="K14" s="9" t="n">
        <f aca="false">I14-J14</f>
        <v>3</v>
      </c>
      <c r="L14" s="6"/>
      <c r="M14" s="6" t="n">
        <f aca="false">K14-L14</f>
        <v>3</v>
      </c>
      <c r="N14" s="9"/>
      <c r="O14" s="9" t="n">
        <f aca="false">M14-N14</f>
        <v>3</v>
      </c>
      <c r="P14" s="6"/>
      <c r="Q14" s="6" t="n">
        <f aca="false">O14-P14</f>
        <v>3</v>
      </c>
      <c r="R14" s="9"/>
      <c r="S14" s="9" t="n">
        <f aca="false">Q14-R14</f>
        <v>3</v>
      </c>
      <c r="T14" s="6"/>
      <c r="U14" s="6" t="n">
        <f aca="false">S14-T14</f>
        <v>3</v>
      </c>
      <c r="V14" s="9"/>
      <c r="W14" s="9" t="n">
        <f aca="false">U14-V14</f>
        <v>3</v>
      </c>
      <c r="X14" s="6"/>
      <c r="Y14" s="6" t="n">
        <f aca="false">W14-X14</f>
        <v>3</v>
      </c>
      <c r="Z14" s="9"/>
      <c r="AA14" s="9" t="n">
        <f aca="false">Y14-Z14</f>
        <v>3</v>
      </c>
      <c r="AB14" s="6" t="n">
        <f aca="false">H14+J14+L14+N14+P14+R14+T14+V14+X14+Z14</f>
        <v>0</v>
      </c>
      <c r="AC14" s="6" t="n">
        <f aca="false">G14-AB14</f>
        <v>3</v>
      </c>
    </row>
    <row r="15" customFormat="false" ht="15" hidden="false" customHeight="true" outlineLevel="0" collapsed="false">
      <c r="B15" s="6" t="s">
        <v>41</v>
      </c>
      <c r="C15" s="7" t="s">
        <v>42</v>
      </c>
      <c r="D15" s="7" t="s">
        <v>43</v>
      </c>
      <c r="E15" s="7" t="s">
        <v>31</v>
      </c>
      <c r="F15" s="6" t="s">
        <v>26</v>
      </c>
      <c r="G15" s="8" t="n">
        <v>3</v>
      </c>
      <c r="H15" s="6"/>
      <c r="I15" s="6" t="n">
        <f aca="false">G15-H15</f>
        <v>3</v>
      </c>
      <c r="J15" s="9"/>
      <c r="K15" s="9" t="n">
        <f aca="false">I15-J15</f>
        <v>3</v>
      </c>
      <c r="L15" s="6"/>
      <c r="M15" s="6" t="n">
        <f aca="false">K15-L15</f>
        <v>3</v>
      </c>
      <c r="N15" s="9"/>
      <c r="O15" s="9" t="n">
        <f aca="false">M15-N15</f>
        <v>3</v>
      </c>
      <c r="P15" s="6"/>
      <c r="Q15" s="6" t="n">
        <f aca="false">O15-P15</f>
        <v>3</v>
      </c>
      <c r="R15" s="9"/>
      <c r="S15" s="9" t="n">
        <f aca="false">Q15-R15</f>
        <v>3</v>
      </c>
      <c r="T15" s="6"/>
      <c r="U15" s="6" t="n">
        <f aca="false">S15-T15</f>
        <v>3</v>
      </c>
      <c r="V15" s="9"/>
      <c r="W15" s="9" t="n">
        <f aca="false">U15-V15</f>
        <v>3</v>
      </c>
      <c r="X15" s="6"/>
      <c r="Y15" s="6" t="n">
        <f aca="false">W15-X15</f>
        <v>3</v>
      </c>
      <c r="Z15" s="9"/>
      <c r="AA15" s="9" t="n">
        <f aca="false">Y15-Z15</f>
        <v>3</v>
      </c>
      <c r="AB15" s="6" t="n">
        <f aca="false">H15+J15+L15+N15+P15+R15+T15+V15+X15+Z15</f>
        <v>0</v>
      </c>
      <c r="AC15" s="6" t="n">
        <f aca="false">G15-AB15</f>
        <v>3</v>
      </c>
    </row>
    <row r="16" customFormat="false" ht="15" hidden="false" customHeight="false" outlineLevel="0" collapsed="false">
      <c r="B16" s="6"/>
      <c r="C16" s="6"/>
      <c r="D16" s="7" t="s">
        <v>44</v>
      </c>
      <c r="E16" s="7" t="s">
        <v>28</v>
      </c>
      <c r="F16" s="6" t="s">
        <v>26</v>
      </c>
      <c r="G16" s="8" t="n">
        <v>5</v>
      </c>
      <c r="H16" s="6"/>
      <c r="I16" s="6" t="n">
        <f aca="false">G16-H16</f>
        <v>5</v>
      </c>
      <c r="J16" s="9"/>
      <c r="K16" s="9" t="n">
        <f aca="false">I16-J16</f>
        <v>5</v>
      </c>
      <c r="L16" s="6"/>
      <c r="M16" s="6" t="n">
        <f aca="false">K16-L16</f>
        <v>5</v>
      </c>
      <c r="N16" s="9"/>
      <c r="O16" s="9" t="n">
        <f aca="false">M16-N16</f>
        <v>5</v>
      </c>
      <c r="P16" s="6"/>
      <c r="Q16" s="6" t="n">
        <f aca="false">O16-P16</f>
        <v>5</v>
      </c>
      <c r="R16" s="9"/>
      <c r="S16" s="9" t="n">
        <f aca="false">Q16-R16</f>
        <v>5</v>
      </c>
      <c r="T16" s="6"/>
      <c r="U16" s="6" t="n">
        <f aca="false">S16-T16</f>
        <v>5</v>
      </c>
      <c r="V16" s="9"/>
      <c r="W16" s="9" t="n">
        <f aca="false">U16-V16</f>
        <v>5</v>
      </c>
      <c r="X16" s="6"/>
      <c r="Y16" s="6" t="n">
        <f aca="false">W16-X16</f>
        <v>5</v>
      </c>
      <c r="Z16" s="9"/>
      <c r="AA16" s="9" t="n">
        <f aca="false">Y16-Z16</f>
        <v>5</v>
      </c>
      <c r="AB16" s="6" t="n">
        <f aca="false">H16+J16+L16+N16+P16+R16+T16+V16+X16+Z16</f>
        <v>0</v>
      </c>
      <c r="AC16" s="6" t="n">
        <f aca="false">G16-AB16</f>
        <v>5</v>
      </c>
    </row>
    <row r="17" customFormat="false" ht="15" hidden="false" customHeight="false" outlineLevel="0" collapsed="false">
      <c r="B17" s="6"/>
      <c r="C17" s="6"/>
      <c r="D17" s="7" t="s">
        <v>45</v>
      </c>
      <c r="E17" s="7" t="s">
        <v>25</v>
      </c>
      <c r="F17" s="6" t="s">
        <v>26</v>
      </c>
      <c r="G17" s="8" t="n">
        <v>2</v>
      </c>
      <c r="H17" s="6"/>
      <c r="I17" s="6" t="n">
        <f aca="false">G17-H17</f>
        <v>2</v>
      </c>
      <c r="J17" s="9"/>
      <c r="K17" s="9" t="n">
        <f aca="false">I17-J17</f>
        <v>2</v>
      </c>
      <c r="L17" s="6"/>
      <c r="M17" s="6" t="n">
        <f aca="false">K17-L17</f>
        <v>2</v>
      </c>
      <c r="N17" s="9"/>
      <c r="O17" s="9" t="n">
        <f aca="false">M17-N17</f>
        <v>2</v>
      </c>
      <c r="P17" s="6"/>
      <c r="Q17" s="6" t="n">
        <f aca="false">O17-P17</f>
        <v>2</v>
      </c>
      <c r="R17" s="9"/>
      <c r="S17" s="9" t="n">
        <f aca="false">Q17-R17</f>
        <v>2</v>
      </c>
      <c r="T17" s="6"/>
      <c r="U17" s="6" t="n">
        <f aca="false">S17-T17</f>
        <v>2</v>
      </c>
      <c r="V17" s="9"/>
      <c r="W17" s="9" t="n">
        <f aca="false">U17-V17</f>
        <v>2</v>
      </c>
      <c r="X17" s="6"/>
      <c r="Y17" s="6" t="n">
        <f aca="false">W17-X17</f>
        <v>2</v>
      </c>
      <c r="Z17" s="9"/>
      <c r="AA17" s="9" t="n">
        <f aca="false">Y17-Z17</f>
        <v>2</v>
      </c>
      <c r="AB17" s="6" t="n">
        <f aca="false">H17+J17+L17+N17+P17+R17+T17+V17+X17+Z17</f>
        <v>0</v>
      </c>
      <c r="AC17" s="6" t="n">
        <f aca="false">G17-AB17</f>
        <v>2</v>
      </c>
    </row>
    <row r="18" customFormat="false" ht="15" hidden="false" customHeight="true" outlineLevel="0" collapsed="false">
      <c r="B18" s="6" t="s">
        <v>46</v>
      </c>
      <c r="C18" s="7" t="s">
        <v>47</v>
      </c>
      <c r="D18" s="7" t="s">
        <v>48</v>
      </c>
      <c r="E18" s="7" t="s">
        <v>31</v>
      </c>
      <c r="F18" s="6" t="s">
        <v>26</v>
      </c>
      <c r="G18" s="8" t="n">
        <v>3</v>
      </c>
      <c r="H18" s="6"/>
      <c r="I18" s="6" t="n">
        <f aca="false">G18-H18</f>
        <v>3</v>
      </c>
      <c r="J18" s="9"/>
      <c r="K18" s="9" t="n">
        <f aca="false">I18-J18</f>
        <v>3</v>
      </c>
      <c r="L18" s="6"/>
      <c r="M18" s="6" t="n">
        <f aca="false">K18-L18</f>
        <v>3</v>
      </c>
      <c r="N18" s="9"/>
      <c r="O18" s="9" t="n">
        <f aca="false">M18-N18</f>
        <v>3</v>
      </c>
      <c r="P18" s="6"/>
      <c r="Q18" s="6" t="n">
        <f aca="false">O18-P18</f>
        <v>3</v>
      </c>
      <c r="R18" s="9"/>
      <c r="S18" s="9" t="n">
        <f aca="false">Q18-R18</f>
        <v>3</v>
      </c>
      <c r="T18" s="6"/>
      <c r="U18" s="6" t="n">
        <f aca="false">S18-T18</f>
        <v>3</v>
      </c>
      <c r="V18" s="9"/>
      <c r="W18" s="9" t="n">
        <f aca="false">U18-V18</f>
        <v>3</v>
      </c>
      <c r="X18" s="6"/>
      <c r="Y18" s="6" t="n">
        <f aca="false">W18-X18</f>
        <v>3</v>
      </c>
      <c r="Z18" s="9"/>
      <c r="AA18" s="9" t="n">
        <f aca="false">Y18-Z18</f>
        <v>3</v>
      </c>
      <c r="AB18" s="6" t="n">
        <f aca="false">H18+J18+L18+N18+P18+R18+T18+V18+X18+Z18</f>
        <v>0</v>
      </c>
      <c r="AC18" s="6" t="n">
        <f aca="false">G18-AB18</f>
        <v>3</v>
      </c>
    </row>
    <row r="19" customFormat="false" ht="15" hidden="false" customHeight="false" outlineLevel="0" collapsed="false">
      <c r="B19" s="6"/>
      <c r="C19" s="6"/>
      <c r="D19" s="7" t="s">
        <v>49</v>
      </c>
      <c r="E19" s="7" t="s">
        <v>28</v>
      </c>
      <c r="F19" s="6" t="s">
        <v>26</v>
      </c>
      <c r="G19" s="8" t="n">
        <v>5</v>
      </c>
      <c r="H19" s="6"/>
      <c r="I19" s="6" t="n">
        <f aca="false">G19-H19</f>
        <v>5</v>
      </c>
      <c r="J19" s="9"/>
      <c r="K19" s="9" t="n">
        <f aca="false">I19-J19</f>
        <v>5</v>
      </c>
      <c r="L19" s="6"/>
      <c r="M19" s="6" t="n">
        <f aca="false">K19-L19</f>
        <v>5</v>
      </c>
      <c r="N19" s="9"/>
      <c r="O19" s="9" t="n">
        <f aca="false">M19-N19</f>
        <v>5</v>
      </c>
      <c r="P19" s="6"/>
      <c r="Q19" s="6" t="n">
        <f aca="false">O19-P19</f>
        <v>5</v>
      </c>
      <c r="R19" s="9"/>
      <c r="S19" s="9" t="n">
        <f aca="false">Q19-R19</f>
        <v>5</v>
      </c>
      <c r="T19" s="6"/>
      <c r="U19" s="6" t="n">
        <f aca="false">S19-T19</f>
        <v>5</v>
      </c>
      <c r="V19" s="9"/>
      <c r="W19" s="9" t="n">
        <f aca="false">U19-V19</f>
        <v>5</v>
      </c>
      <c r="X19" s="6"/>
      <c r="Y19" s="6" t="n">
        <f aca="false">W19-X19</f>
        <v>5</v>
      </c>
      <c r="Z19" s="9"/>
      <c r="AA19" s="9" t="n">
        <f aca="false">Y19-Z19</f>
        <v>5</v>
      </c>
      <c r="AB19" s="6" t="n">
        <f aca="false">H19+J19+L19+N19+P19+R19+T19+V19+X19+Z19</f>
        <v>0</v>
      </c>
      <c r="AC19" s="6" t="n">
        <f aca="false">G19-AB19</f>
        <v>5</v>
      </c>
    </row>
    <row r="20" customFormat="false" ht="15" hidden="false" customHeight="false" outlineLevel="0" collapsed="false">
      <c r="B20" s="6"/>
      <c r="C20" s="6"/>
      <c r="D20" s="7" t="s">
        <v>50</v>
      </c>
      <c r="E20" s="7" t="s">
        <v>28</v>
      </c>
      <c r="F20" s="6" t="s">
        <v>26</v>
      </c>
      <c r="G20" s="8" t="n">
        <v>2</v>
      </c>
      <c r="H20" s="6"/>
      <c r="I20" s="6" t="n">
        <f aca="false">G20-H20</f>
        <v>2</v>
      </c>
      <c r="J20" s="9"/>
      <c r="K20" s="9" t="n">
        <f aca="false">I20-J20</f>
        <v>2</v>
      </c>
      <c r="L20" s="6"/>
      <c r="M20" s="6" t="n">
        <f aca="false">K20-L20</f>
        <v>2</v>
      </c>
      <c r="N20" s="9"/>
      <c r="O20" s="9" t="n">
        <f aca="false">M20-N20</f>
        <v>2</v>
      </c>
      <c r="P20" s="6"/>
      <c r="Q20" s="6" t="n">
        <f aca="false">O20-P20</f>
        <v>2</v>
      </c>
      <c r="R20" s="9"/>
      <c r="S20" s="9" t="n">
        <f aca="false">Q20-R20</f>
        <v>2</v>
      </c>
      <c r="T20" s="6"/>
      <c r="U20" s="6" t="n">
        <f aca="false">S20-T20</f>
        <v>2</v>
      </c>
      <c r="V20" s="9"/>
      <c r="W20" s="9" t="n">
        <f aca="false">U20-V20</f>
        <v>2</v>
      </c>
      <c r="X20" s="6"/>
      <c r="Y20" s="6" t="n">
        <f aca="false">W20-X20</f>
        <v>2</v>
      </c>
      <c r="Z20" s="9"/>
      <c r="AA20" s="9" t="n">
        <f aca="false">Y20-Z20</f>
        <v>2</v>
      </c>
      <c r="AB20" s="6" t="n">
        <f aca="false">H20+J20+L20+N20+P20+R20+T20+V20+X20+Z20</f>
        <v>0</v>
      </c>
      <c r="AC20" s="6" t="n">
        <f aca="false">G20-AB20</f>
        <v>2</v>
      </c>
    </row>
    <row r="21" customFormat="false" ht="15" hidden="false" customHeight="false" outlineLevel="0" collapsed="false">
      <c r="B21" s="6"/>
      <c r="C21" s="6"/>
      <c r="D21" s="7" t="s">
        <v>51</v>
      </c>
      <c r="E21" s="7" t="s">
        <v>25</v>
      </c>
      <c r="F21" s="6" t="s">
        <v>26</v>
      </c>
      <c r="G21" s="8" t="n">
        <v>2</v>
      </c>
      <c r="H21" s="6"/>
      <c r="I21" s="6" t="n">
        <f aca="false">G21-H21</f>
        <v>2</v>
      </c>
      <c r="J21" s="9"/>
      <c r="K21" s="9" t="n">
        <f aca="false">I21-J21</f>
        <v>2</v>
      </c>
      <c r="L21" s="6"/>
      <c r="M21" s="6" t="n">
        <f aca="false">K21-L21</f>
        <v>2</v>
      </c>
      <c r="N21" s="9"/>
      <c r="O21" s="9" t="n">
        <f aca="false">M21-N21</f>
        <v>2</v>
      </c>
      <c r="P21" s="6"/>
      <c r="Q21" s="6" t="n">
        <f aca="false">O21-P21</f>
        <v>2</v>
      </c>
      <c r="R21" s="9"/>
      <c r="S21" s="9" t="n">
        <f aca="false">Q21-R21</f>
        <v>2</v>
      </c>
      <c r="T21" s="6"/>
      <c r="U21" s="6" t="n">
        <f aca="false">S21-T21</f>
        <v>2</v>
      </c>
      <c r="V21" s="9"/>
      <c r="W21" s="9" t="n">
        <f aca="false">U21-V21</f>
        <v>2</v>
      </c>
      <c r="X21" s="6"/>
      <c r="Y21" s="6" t="n">
        <f aca="false">W21-X21</f>
        <v>2</v>
      </c>
      <c r="Z21" s="9"/>
      <c r="AA21" s="9" t="n">
        <f aca="false">Y21-Z21</f>
        <v>2</v>
      </c>
      <c r="AB21" s="6" t="n">
        <f aca="false">H21+J21+L21+N21+P21+R21+T21+V21+X21+Z21</f>
        <v>0</v>
      </c>
      <c r="AC21" s="6" t="n">
        <f aca="false">G21-AB21</f>
        <v>2</v>
      </c>
    </row>
    <row r="22" customFormat="false" ht="15" hidden="false" customHeight="false" outlineLevel="0" collapsed="false">
      <c r="B22" s="10" t="s">
        <v>52</v>
      </c>
      <c r="C22" s="10"/>
      <c r="D22" s="10"/>
      <c r="E22" s="10"/>
      <c r="F22" s="10"/>
      <c r="G22" s="5" t="n">
        <f aca="false">SUM(G6:G21)</f>
        <v>50</v>
      </c>
      <c r="H22" s="5" t="n">
        <f aca="false">SUM(H6:H21)</f>
        <v>0</v>
      </c>
      <c r="I22" s="5" t="n">
        <f aca="false">SUM(I6:I21)</f>
        <v>50</v>
      </c>
      <c r="J22" s="5" t="n">
        <f aca="false">SUM(J6:J21)</f>
        <v>0</v>
      </c>
      <c r="K22" s="5" t="n">
        <f aca="false">SUM(K6:K21)</f>
        <v>50</v>
      </c>
      <c r="L22" s="5" t="n">
        <f aca="false">SUM(L6:L21)</f>
        <v>0</v>
      </c>
      <c r="M22" s="5" t="n">
        <f aca="false">SUM(M6:M21)</f>
        <v>50</v>
      </c>
      <c r="N22" s="5" t="n">
        <f aca="false">SUM(N6:N21)</f>
        <v>0</v>
      </c>
      <c r="O22" s="5" t="n">
        <f aca="false">SUM(O6:O21)</f>
        <v>50</v>
      </c>
      <c r="P22" s="5" t="n">
        <f aca="false">SUM(P6:P21)</f>
        <v>0</v>
      </c>
      <c r="Q22" s="5" t="n">
        <f aca="false">SUM(Q6:Q21)</f>
        <v>50</v>
      </c>
      <c r="R22" s="5" t="n">
        <f aca="false">SUM(R6:R21)</f>
        <v>0</v>
      </c>
      <c r="S22" s="5" t="n">
        <f aca="false">SUM(S6:S21)</f>
        <v>50</v>
      </c>
      <c r="T22" s="5" t="n">
        <f aca="false">SUM(T6:T21)</f>
        <v>0</v>
      </c>
      <c r="U22" s="5" t="n">
        <f aca="false">SUM(U6:U21)</f>
        <v>50</v>
      </c>
      <c r="V22" s="5" t="n">
        <f aca="false">SUM(V6:V21)</f>
        <v>0</v>
      </c>
      <c r="W22" s="5" t="n">
        <f aca="false">SUM(W6:W21)</f>
        <v>50</v>
      </c>
      <c r="X22" s="5" t="n">
        <f aca="false">SUM(X6:X21)</f>
        <v>0</v>
      </c>
      <c r="Y22" s="5" t="n">
        <f aca="false">SUM(Y6:Y21)</f>
        <v>50</v>
      </c>
      <c r="Z22" s="5" t="n">
        <f aca="false">SUM(Z6:Z21)</f>
        <v>0</v>
      </c>
      <c r="AA22" s="5" t="n">
        <f aca="false">SUM(AA6:AA21)</f>
        <v>50</v>
      </c>
      <c r="AB22" s="5" t="n">
        <f aca="false">SUM(AB6:AB21)</f>
        <v>0</v>
      </c>
      <c r="AC22" s="5" t="n">
        <f aca="false">SUM(AC6:AC21)</f>
        <v>50</v>
      </c>
    </row>
    <row r="24" customFormat="false" ht="15" hidden="false" customHeight="false" outlineLevel="0" collapsed="false">
      <c r="B24" s="3" t="s">
        <v>53</v>
      </c>
    </row>
    <row r="25" customFormat="false" ht="15" hidden="false" customHeight="false" outlineLevel="0" collapsed="false">
      <c r="B25" s="3" t="s">
        <v>54</v>
      </c>
    </row>
    <row r="26" customFormat="false" ht="15" hidden="false" customHeight="false" outlineLevel="0" collapsed="false">
      <c r="B26" s="3" t="s">
        <v>55</v>
      </c>
    </row>
    <row r="27" customFormat="false" ht="15" hidden="false" customHeight="false" outlineLevel="0" collapsed="false">
      <c r="B27" s="3" t="s">
        <v>56</v>
      </c>
    </row>
  </sheetData>
  <mergeCells count="28">
    <mergeCell ref="B4:B5"/>
    <mergeCell ref="C4:C5"/>
    <mergeCell ref="D4:D5"/>
    <mergeCell ref="E4:E5"/>
    <mergeCell ref="F4:F5"/>
    <mergeCell ref="G4:G5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B6:B9"/>
    <mergeCell ref="C6:C9"/>
    <mergeCell ref="B10:B12"/>
    <mergeCell ref="C10:C12"/>
    <mergeCell ref="B13:B14"/>
    <mergeCell ref="C13:C14"/>
    <mergeCell ref="B15:B17"/>
    <mergeCell ref="C15:C17"/>
    <mergeCell ref="B18:B21"/>
    <mergeCell ref="C18:C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2026-10-12T03:19:15Z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