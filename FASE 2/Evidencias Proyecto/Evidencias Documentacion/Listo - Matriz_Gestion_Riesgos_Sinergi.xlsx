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Riesg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<sst xmlns="http://schemas.openxmlformats.org/spreadsheetml/2006/main" count="137" uniqueCount="96">
  <si>
    <t xml:space="preserve">MATRIZ DE GESTIÓN DE RIESGOS (RBS / REGISTRO DE RIESGOS)</t>
  </si>
  <si>
    <t xml:space="preserve">Proyecto: Plataforma Web Integral Sinergi</t>
  </si>
  <si>
    <t xml:space="preserve">Nota: la Probabilidad e Impacto son estimaciones cualitativas iniciales (Alta/Media/Baja), sujetas a validación y ajuste por el equipo y Sinergi conforme avance el proyecto.</t>
  </si>
  <si>
    <t xml:space="preserve">ID</t>
  </si>
  <si>
    <t xml:space="preserve">Categoría (RBS)</t>
  </si>
  <si>
    <t xml:space="preserve">Riesgo</t>
  </si>
  <si>
    <t xml:space="preserve">Descripción / Causa raíz</t>
  </si>
  <si>
    <t xml:space="preserve">Área de impacto principal</t>
  </si>
  <si>
    <t xml:space="preserve">Probabilidad</t>
  </si>
  <si>
    <t xml:space="preserve">Impacto</t>
  </si>
  <si>
    <t xml:space="preserve">Punt. Prob.</t>
  </si>
  <si>
    <t xml:space="preserve">Punt. Imp.</t>
  </si>
  <si>
    <t xml:space="preserve">Nivel de Riesgo</t>
  </si>
  <si>
    <t xml:space="preserve">Clasificación</t>
  </si>
  <si>
    <t xml:space="preserve">Plan de respuesta / Mitigación</t>
  </si>
  <si>
    <t xml:space="preserve">Estado</t>
  </si>
  <si>
    <t xml:space="preserve">Fuente</t>
  </si>
  <si>
    <t xml:space="preserve">R-01</t>
  </si>
  <si>
    <t xml:space="preserve">Técnico</t>
  </si>
  <si>
    <t xml:space="preserve">Sobrecarga por frecuencia de polling</t>
  </si>
  <si>
    <t xml:space="preserve">Las frecuencias de actualización periódica, ya definitivas de lanzamiento (~1-3 s para chat/solicitudes, ~2-3 s para estado de proyecto/hitos), podrían generar una carga elevada de peticiones al servidor.</t>
  </si>
  <si>
    <t xml:space="preserve">Tiempo / Calidad</t>
  </si>
  <si>
    <t xml:space="preserve">Media</t>
  </si>
  <si>
    <t xml:space="preserve">Ajustar la frecuencia final de cada componente según el volumen real de peticiones que reciba esa función.</t>
  </si>
  <si>
    <t xml:space="preserve">Abierto</t>
  </si>
  <si>
    <t xml:space="preserve">Documentacion_Requerida (Grupo 1, Matriz de Riesgos); Definición del Proyecto, sección 2.1</t>
  </si>
  <si>
    <t xml:space="preserve">R-02</t>
  </si>
  <si>
    <t xml:space="preserve">Técnico / Seguridad</t>
  </si>
  <si>
    <t xml:space="preserve">Subida de archivos no válidos a Cloudflare R2</t>
  </si>
  <si>
    <t xml:space="preserve">Riesgo asociado a la subida de documentos de clientes hacia el almacenamiento de objetos, en cuanto a tipo MIME real, extensiones peligrosas y tamaño máximo del archivo.</t>
  </si>
  <si>
    <t xml:space="preserve">Calidad / Seguridad</t>
  </si>
  <si>
    <t xml:space="preserve">Validación en capas ya cerrada en el stack: tipo MIME real (python-magic), lista negra de extensiones peligrosas, límite de tamaño y escaneo antivirus con ClamAV en segundo plano (Celery).</t>
  </si>
  <si>
    <t xml:space="preserve">Documentacion_Requerida (Grupo 1, Matriz de Riesgos); Stack Tecnológico, secciones 6 y 8</t>
  </si>
  <si>
    <t xml:space="preserve">R-03</t>
  </si>
  <si>
    <t xml:space="preserve">Externo</t>
  </si>
  <si>
    <t xml:space="preserve">Límite de cuota en el proveedor SMTP definitivo (Brevo)</t>
  </si>
  <si>
    <t xml:space="preserve">Brevo, proveedor SMTP definitivo, presenta un límite de 300 correos gratuitos diarios, lo que podría restringir el envío de notificaciones automáticas si el volumen de uso crece.</t>
  </si>
  <si>
    <t xml:space="preserve">Alcance / Operación</t>
  </si>
  <si>
    <t xml:space="preserve">Baja</t>
  </si>
  <si>
    <t xml:space="preserve">Monitorear el volumen real de envíos tras el lanzamiento y evaluar upgrade de plan o proveedor adicional si se acerca al límite gratuito.</t>
  </si>
  <si>
    <t xml:space="preserve">Definición del Proyecto, sección 5; Stack Tecnológico, secciones 4 y 12</t>
  </si>
  <si>
    <t xml:space="preserve">R-04</t>
  </si>
  <si>
    <t xml:space="preserve">Operativo</t>
  </si>
  <si>
    <t xml:space="preserve">Demoras en la migración de datos</t>
  </si>
  <si>
    <t xml:space="preserve">Riesgo de retraso en la migración de proyectos existentes (en curso y terminados) y su documentación asociada hacia el nuevo sistema.</t>
  </si>
  <si>
    <t xml:space="preserve">Tiempo</t>
  </si>
  <si>
    <t xml:space="preserve">Alta</t>
  </si>
  <si>
    <t xml:space="preserve">Realizar pruebas con documentos simulados antes de migrar datos reales.</t>
  </si>
  <si>
    <t xml:space="preserve">Documentacion_Requerida (Grupo 1, Matriz de Riesgos); Definición del Proyecto, Módulo 5</t>
  </si>
  <si>
    <t xml:space="preserve">R-05</t>
  </si>
  <si>
    <t xml:space="preserve">Externo / Organizacional</t>
  </si>
  <si>
    <t xml:space="preserve">Hosting de producción aún pendiente de confirmar con Sinergi</t>
  </si>
  <si>
    <t xml:space="preserve">El staging/desarrollo ya corre en un VPS propio del equipo (Hetzner o DigitalOcean); el hosting de producción queda pendiente de confirmar con Sinergi, dado que un hosting compartido con cPanel tradicional no sería compatible con el stack (requiere acceso root/SSH para Docker).</t>
  </si>
  <si>
    <t xml:space="preserve">Tiempo / Costo</t>
  </si>
  <si>
    <t xml:space="preserve">Confirmar con Sinergi si su hosting actual permite acceso root/SSH para Docker; si no es compatible, contratar un VPS (con o sin WHM/cPanel) en conjunto con Sinergi para producción.</t>
  </si>
  <si>
    <t xml:space="preserve">Definición del Proyecto, sección 5; Stack Tecnológico, sección 12</t>
  </si>
  <si>
    <t xml:space="preserve">R-06</t>
  </si>
  <si>
    <t xml:space="preserve">Proveedor de correo SMTP definitivo (resuelto)</t>
  </si>
  <si>
    <t xml:space="preserve">Resuelto: se eligió Brevo como proveedor SMTP definitivo, sobre Resend, por mayor cuota gratuita (300 correos/día vs 100/día) y menor fricción de integración (SMTP relay clásico, compatible con EMAIL_BACKEND de Django).</t>
  </si>
  <si>
    <t xml:space="preserve">Alcance / Tiempo</t>
  </si>
  <si>
    <t xml:space="preserve">Decisión cerrada — Brevo implementado como proveedor SMTP del sistema.</t>
  </si>
  <si>
    <t xml:space="preserve">Cerrado</t>
  </si>
  <si>
    <t xml:space="preserve">R-07</t>
  </si>
  <si>
    <t xml:space="preserve">Frecuencias finales de polling por confirmar</t>
  </si>
  <si>
    <t xml:space="preserve">Las frecuencias de polling quedaron cerradas como definitivas de lanzamiento (~1-3 s chat/solicitudes, ~2-3 s estado de proyecto/hitos); ajustes futuros según volumen real de uso son tuning operativo, no una reapertura de la decisión.</t>
  </si>
  <si>
    <t xml:space="preserve">Calidad</t>
  </si>
  <si>
    <t xml:space="preserve">Monitorear el volumen real de peticiones tras el lanzamiento y ajustar las frecuencias como tuning operativo, si es necesario.</t>
  </si>
  <si>
    <t xml:space="preserve">R-08</t>
  </si>
  <si>
    <t xml:space="preserve">Seguridad</t>
  </si>
  <si>
    <t xml:space="preserve">2FA y antivirus para documentos</t>
  </si>
  <si>
    <t xml:space="preserve">Se definió incluir ambas medidas: 2FA (TOTP, django-otp) obligatorio para las cuentas admin y empleado, y antivirus ClamAV + validación de archivos en capas para los documentos subidos por clientes.</t>
  </si>
  <si>
    <t xml:space="preserve">Implementar 2FA (django-otp) y ClamAV según lo definido en el Stack Tecnológico, sección 8.</t>
  </si>
  <si>
    <t xml:space="preserve">Definición del Proyecto, sección 5; Stack Tecnológico, sección 8</t>
  </si>
  <si>
    <t xml:space="preserve">R-09</t>
  </si>
  <si>
    <t xml:space="preserve">Filtración de información entre clientes vía chatbot del portal</t>
  </si>
  <si>
    <t xml:space="preserve">El chatbot del portal de clientes (Módulo 4) responde sobre los proyectos propios de cada cliente autenticado; existe riesgo de que, por un error de contexto enviado a la API externa de IA, un cliente reciba información sobre proyectos de otro cliente.</t>
  </si>
  <si>
    <t xml:space="preserve">Aislamiento estricto de información por cliente como requisito crítico de diseño; pruebas específicas con múltiples clientes/proyectos simultáneos antes de dar por listo el chatbot, verificando que el contexto enviado a la API se filtra correctamente por usuario autenticado.</t>
  </si>
  <si>
    <t xml:space="preserve">Definición del Proyecto, Módulo 4; Stack Tecnológico, sección 11</t>
  </si>
  <si>
    <t xml:space="preserve">R-10</t>
  </si>
  <si>
    <t xml:space="preserve">Alcance</t>
  </si>
  <si>
    <t xml:space="preserve">Alcance final de internacionalización (inglés) condicionado al avance del proyecto</t>
  </si>
  <si>
    <t xml:space="preserve">La versión en inglés del sitio y del portal de cliente se aborda al final de la Fase 2 (Diseño UI/UX), de forma condicional según el avance del resto del proyecto; su alcance final se evalúa en ese momento.</t>
  </si>
  <si>
    <t xml:space="preserve">Confirmar el alcance final de la internacionalización al cierre de la Fase 2, antes de iniciar el desarrollo backend/frontend.</t>
  </si>
  <si>
    <t xml:space="preserve">Definición del Proyecto, sección 5 y Módulo 1</t>
  </si>
  <si>
    <t xml:space="preserve">R-11</t>
  </si>
  <si>
    <t xml:space="preserve">Desarrollo del Módulo 6 (Inventario) aún no confirmado</t>
  </si>
  <si>
    <t xml:space="preserve">El Módulo 6 (Inventario) es de baja prioridad y se desarrollaría solo si sobra tiempo y si la empresa confirma interés, una vez completados los módulos principales.</t>
  </si>
  <si>
    <t xml:space="preserve">Confirmar con Sinergi si el Módulo 6 se desarrollará y si se conectará con el módulo de proyectos.</t>
  </si>
  <si>
    <t xml:space="preserve">Definición del Proyecto, sección 5 y Módulo 6</t>
  </si>
  <si>
    <t xml:space="preserve">LEYENDA DE PUNTAJES Y CLASIFICACIÓN</t>
  </si>
  <si>
    <t xml:space="preserve">Nivel</t>
  </si>
  <si>
    <t xml:space="preserve">Puntaje</t>
  </si>
  <si>
    <t xml:space="preserve">Clasificación del Nivel de Riesgo (Probabilidad × Impacto):</t>
  </si>
  <si>
    <t xml:space="preserve">Bajo: puntaje 1 o 2</t>
  </si>
  <si>
    <t xml:space="preserve">Medio: puntaje 3 o 4</t>
  </si>
  <si>
    <t xml:space="preserve">Alto: puntaje 6 o 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</si>
</sst>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15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9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34"/>
    <col collapsed="false" customWidth="true" hidden="false" outlineLevel="0" max="13" min="13" style="1" width="10"/>
    <col collapsed="false" customWidth="true" hidden="false" outlineLevel="0" max="14" min="14" style="1" width="3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23.2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60" hidden="false" customHeight="true" outlineLevel="0" collapsed="false">
      <c r="A6" s="5" t="s">
        <v>17</v>
      </c>
      <c r="B6" s="5" t="s">
        <v>18</v>
      </c>
      <c r="C6" s="6" t="s">
        <v>19</v>
      </c>
      <c r="D6" s="6" t="s">
        <v>20</v>
      </c>
      <c r="E6" s="5" t="s">
        <v>21</v>
      </c>
      <c r="F6" s="5" t="s">
        <v>22</v>
      </c>
      <c r="G6" s="5" t="s">
        <v>22</v>
      </c>
      <c r="H6" s="5" t="n">
        <f aca="false">INDEX(Leyenda!$B$4:$B$6,MATCH(F6,Leyenda!$A$4:$A$6,0))</f>
        <v>2</v>
      </c>
      <c r="I6" s="5" t="n">
        <f aca="false">INDEX(Leyenda!$B$4:$B$6,MATCH(G6,Leyenda!$A$4:$A$6,0))</f>
        <v>2</v>
      </c>
      <c r="J6" s="5" t="n">
        <f aca="false">H6*I6</f>
        <v>4</v>
      </c>
      <c r="K6" s="5" t="str">
        <f aca="false">IF(J6&gt;=6,"Alto",IF(J6&gt;=3,"Medio","Bajo"))</f>
        <v>Medio</v>
      </c>
      <c r="L6" s="6" t="s">
        <v>23</v>
      </c>
      <c r="M6" s="5" t="s">
        <v>24</v>
      </c>
      <c r="N6" s="6" t="s">
        <v>25</v>
      </c>
    </row>
    <row r="7" customFormat="false" ht="60" hidden="false" customHeight="true" outlineLevel="0" collapsed="false">
      <c r="A7" s="5" t="s">
        <v>26</v>
      </c>
      <c r="B7" s="5" t="s">
        <v>27</v>
      </c>
      <c r="C7" s="6" t="s">
        <v>28</v>
      </c>
      <c r="D7" s="6" t="s">
        <v>29</v>
      </c>
      <c r="E7" s="5" t="s">
        <v>30</v>
      </c>
      <c r="F7" s="5" t="s">
        <v>22</v>
      </c>
      <c r="G7" s="5" t="s">
        <v>22</v>
      </c>
      <c r="H7" s="5" t="n">
        <f aca="false">INDEX(Leyenda!$B$4:$B$6,MATCH(F7,Leyenda!$A$4:$A$6,0))</f>
        <v>2</v>
      </c>
      <c r="I7" s="5" t="n">
        <f aca="false">INDEX(Leyenda!$B$4:$B$6,MATCH(G7,Leyenda!$A$4:$A$6,0))</f>
        <v>2</v>
      </c>
      <c r="J7" s="5" t="n">
        <f aca="false">H7*I7</f>
        <v>4</v>
      </c>
      <c r="K7" s="5" t="str">
        <f aca="false">IF(J7&gt;=6,"Alto",IF(J7&gt;=3,"Medio","Bajo"))</f>
        <v>Medio</v>
      </c>
      <c r="L7" s="6" t="s">
        <v>31</v>
      </c>
      <c r="M7" s="5" t="s">
        <v>24</v>
      </c>
      <c r="N7" s="6" t="s">
        <v>32</v>
      </c>
    </row>
    <row r="8" customFormat="false" ht="60" hidden="false" customHeight="true" outlineLevel="0" collapsed="false">
      <c r="A8" s="5" t="s">
        <v>33</v>
      </c>
      <c r="B8" s="5" t="s">
        <v>34</v>
      </c>
      <c r="C8" s="6" t="s">
        <v>35</v>
      </c>
      <c r="D8" s="6" t="s">
        <v>36</v>
      </c>
      <c r="E8" s="5" t="s">
        <v>37</v>
      </c>
      <c r="F8" s="5" t="s">
        <v>22</v>
      </c>
      <c r="G8" s="5" t="s">
        <v>38</v>
      </c>
      <c r="H8" s="5" t="n">
        <f aca="false">INDEX(Leyenda!$B$4:$B$6,MATCH(F8,Leyenda!$A$4:$A$6,0))</f>
        <v>2</v>
      </c>
      <c r="I8" s="5" t="n">
        <f aca="false">INDEX(Leyenda!$B$4:$B$6,MATCH(G8,Leyenda!$A$4:$A$6,0))</f>
        <v>1</v>
      </c>
      <c r="J8" s="5" t="n">
        <f aca="false">H8*I8</f>
        <v>2</v>
      </c>
      <c r="K8" s="5" t="str">
        <f aca="false">IF(J8&gt;=6,"Alto",IF(J8&gt;=3,"Medio","Bajo"))</f>
        <v>Bajo</v>
      </c>
      <c r="L8" s="6" t="s">
        <v>39</v>
      </c>
      <c r="M8" s="5" t="s">
        <v>24</v>
      </c>
      <c r="N8" s="6" t="s">
        <v>40</v>
      </c>
    </row>
    <row r="9" customFormat="false" ht="60" hidden="false" customHeight="true" outlineLevel="0" collapsed="false">
      <c r="A9" s="5" t="s">
        <v>41</v>
      </c>
      <c r="B9" s="5" t="s">
        <v>42</v>
      </c>
      <c r="C9" s="6" t="s">
        <v>43</v>
      </c>
      <c r="D9" s="6" t="s">
        <v>44</v>
      </c>
      <c r="E9" s="5" t="s">
        <v>45</v>
      </c>
      <c r="F9" s="5" t="s">
        <v>22</v>
      </c>
      <c r="G9" s="5" t="s">
        <v>46</v>
      </c>
      <c r="H9" s="5" t="n">
        <f aca="false">INDEX(Leyenda!$B$4:$B$6,MATCH(F9,Leyenda!$A$4:$A$6,0))</f>
        <v>2</v>
      </c>
      <c r="I9" s="5" t="n">
        <f aca="false">INDEX(Leyenda!$B$4:$B$6,MATCH(G9,Leyenda!$A$4:$A$6,0))</f>
        <v>3</v>
      </c>
      <c r="J9" s="5" t="n">
        <f aca="false">H9*I9</f>
        <v>6</v>
      </c>
      <c r="K9" s="5" t="str">
        <f aca="false">IF(J9&gt;=6,"Alto",IF(J9&gt;=3,"Medio","Bajo"))</f>
        <v>Alto</v>
      </c>
      <c r="L9" s="6" t="s">
        <v>47</v>
      </c>
      <c r="M9" s="5" t="s">
        <v>24</v>
      </c>
      <c r="N9" s="6" t="s">
        <v>48</v>
      </c>
    </row>
    <row r="10" customFormat="false" ht="60" hidden="false" customHeight="true" outlineLevel="0" collapsed="false">
      <c r="A10" s="5" t="s">
        <v>49</v>
      </c>
      <c r="B10" s="5" t="s">
        <v>50</v>
      </c>
      <c r="C10" s="6" t="s">
        <v>51</v>
      </c>
      <c r="D10" s="6" t="s">
        <v>52</v>
      </c>
      <c r="E10" s="5" t="s">
        <v>53</v>
      </c>
      <c r="F10" s="5" t="s">
        <v>22</v>
      </c>
      <c r="G10" s="5" t="s">
        <v>22</v>
      </c>
      <c r="H10" s="5" t="n">
        <f aca="false">INDEX(Leyenda!$B$4:$B$6,MATCH(F10,Leyenda!$A$4:$A$6,0))</f>
        <v>2</v>
      </c>
      <c r="I10" s="5" t="n">
        <f aca="false">INDEX(Leyenda!$B$4:$B$6,MATCH(G10,Leyenda!$A$4:$A$6,0))</f>
        <v>2</v>
      </c>
      <c r="J10" s="5" t="n">
        <f aca="false">H10*I10</f>
        <v>4</v>
      </c>
      <c r="K10" s="5" t="str">
        <f aca="false">IF(J10&gt;=6,"Alto",IF(J10&gt;=3,"Medio","Bajo"))</f>
        <v>Medio</v>
      </c>
      <c r="L10" s="6" t="s">
        <v>54</v>
      </c>
      <c r="M10" s="5" t="s">
        <v>24</v>
      </c>
      <c r="N10" s="6" t="s">
        <v>55</v>
      </c>
    </row>
    <row r="11" customFormat="false" ht="60" hidden="false" customHeight="true" outlineLevel="0" collapsed="false">
      <c r="A11" s="5" t="s">
        <v>56</v>
      </c>
      <c r="B11" s="5" t="s">
        <v>34</v>
      </c>
      <c r="C11" s="6" t="s">
        <v>57</v>
      </c>
      <c r="D11" s="6" t="s">
        <v>58</v>
      </c>
      <c r="E11" s="5" t="s">
        <v>59</v>
      </c>
      <c r="F11" s="5" t="s">
        <v>22</v>
      </c>
      <c r="G11" s="5" t="s">
        <v>38</v>
      </c>
      <c r="H11" s="5" t="n">
        <f aca="false">INDEX(Leyenda!$B$4:$B$6,MATCH(F11,Leyenda!$A$4:$A$6,0))</f>
        <v>2</v>
      </c>
      <c r="I11" s="5" t="n">
        <f aca="false">INDEX(Leyenda!$B$4:$B$6,MATCH(G11,Leyenda!$A$4:$A$6,0))</f>
        <v>1</v>
      </c>
      <c r="J11" s="5" t="n">
        <f aca="false">H11*I11</f>
        <v>2</v>
      </c>
      <c r="K11" s="5" t="str">
        <f aca="false">IF(J11&gt;=6,"Alto",IF(J11&gt;=3,"Medio","Bajo"))</f>
        <v>Bajo</v>
      </c>
      <c r="L11" s="6" t="s">
        <v>60</v>
      </c>
      <c r="M11" s="5" t="s">
        <v>61</v>
      </c>
      <c r="N11" s="6" t="s">
        <v>55</v>
      </c>
    </row>
    <row r="12" customFormat="false" ht="60" hidden="false" customHeight="true" outlineLevel="0" collapsed="false">
      <c r="A12" s="5" t="s">
        <v>62</v>
      </c>
      <c r="B12" s="5" t="s">
        <v>18</v>
      </c>
      <c r="C12" s="6" t="s">
        <v>63</v>
      </c>
      <c r="D12" s="6" t="s">
        <v>64</v>
      </c>
      <c r="E12" s="5" t="s">
        <v>65</v>
      </c>
      <c r="F12" s="5" t="s">
        <v>22</v>
      </c>
      <c r="G12" s="5" t="s">
        <v>38</v>
      </c>
      <c r="H12" s="5" t="n">
        <f aca="false">INDEX(Leyenda!$B$4:$B$6,MATCH(F12,Leyenda!$A$4:$A$6,0))</f>
        <v>2</v>
      </c>
      <c r="I12" s="5" t="n">
        <f aca="false">INDEX(Leyenda!$B$4:$B$6,MATCH(G12,Leyenda!$A$4:$A$6,0))</f>
        <v>1</v>
      </c>
      <c r="J12" s="5" t="n">
        <f aca="false">H12*I12</f>
        <v>2</v>
      </c>
      <c r="K12" s="5" t="str">
        <f aca="false">IF(J12&gt;=6,"Alto",IF(J12&gt;=3,"Medio","Bajo"))</f>
        <v>Bajo</v>
      </c>
      <c r="L12" s="6" t="s">
        <v>66</v>
      </c>
      <c r="M12" s="5" t="s">
        <v>61</v>
      </c>
      <c r="N12" s="6" t="s">
        <v>55</v>
      </c>
    </row>
    <row r="13" customFormat="false" ht="60" hidden="false" customHeight="true" outlineLevel="0" collapsed="false">
      <c r="A13" s="5" t="s">
        <v>67</v>
      </c>
      <c r="B13" s="5" t="s">
        <v>68</v>
      </c>
      <c r="C13" s="6" t="s">
        <v>69</v>
      </c>
      <c r="D13" s="6" t="s">
        <v>70</v>
      </c>
      <c r="E13" s="5" t="s">
        <v>30</v>
      </c>
      <c r="F13" s="5" t="s">
        <v>22</v>
      </c>
      <c r="G13" s="5" t="s">
        <v>22</v>
      </c>
      <c r="H13" s="5" t="n">
        <f aca="false">INDEX(Leyenda!$B$4:$B$6,MATCH(F13,Leyenda!$A$4:$A$6,0))</f>
        <v>2</v>
      </c>
      <c r="I13" s="5" t="n">
        <f aca="false">INDEX(Leyenda!$B$4:$B$6,MATCH(G13,Leyenda!$A$4:$A$6,0))</f>
        <v>2</v>
      </c>
      <c r="J13" s="5" t="n">
        <f aca="false">H13*I13</f>
        <v>4</v>
      </c>
      <c r="K13" s="5" t="str">
        <f aca="false">IF(J13&gt;=6,"Alto",IF(J13&gt;=3,"Medio","Bajo"))</f>
        <v>Medio</v>
      </c>
      <c r="L13" s="6" t="s">
        <v>71</v>
      </c>
      <c r="M13" s="5" t="s">
        <v>61</v>
      </c>
      <c r="N13" s="6" t="s">
        <v>72</v>
      </c>
    </row>
    <row r="14" customFormat="false" ht="60" hidden="false" customHeight="true" outlineLevel="0" collapsed="false">
      <c r="A14" s="5" t="s">
        <v>73</v>
      </c>
      <c r="B14" s="5" t="s">
        <v>68</v>
      </c>
      <c r="C14" s="6" t="s">
        <v>74</v>
      </c>
      <c r="D14" s="6" t="s">
        <v>75</v>
      </c>
      <c r="E14" s="5" t="s">
        <v>30</v>
      </c>
      <c r="F14" s="5" t="s">
        <v>22</v>
      </c>
      <c r="G14" s="5" t="s">
        <v>46</v>
      </c>
      <c r="H14" s="5" t="n">
        <f aca="false">INDEX(Leyenda!$B$4:$B$6,MATCH(F14,Leyenda!$A$4:$A$6,0))</f>
        <v>2</v>
      </c>
      <c r="I14" s="5" t="n">
        <f aca="false">INDEX(Leyenda!$B$4:$B$6,MATCH(G14,Leyenda!$A$4:$A$6,0))</f>
        <v>3</v>
      </c>
      <c r="J14" s="5" t="n">
        <f aca="false">H14*I14</f>
        <v>6</v>
      </c>
      <c r="K14" s="5" t="str">
        <f aca="false">IF(J14&gt;=6,"Alto",IF(J14&gt;=3,"Medio","Bajo"))</f>
        <v>Alto</v>
      </c>
      <c r="L14" s="6" t="s">
        <v>76</v>
      </c>
      <c r="M14" s="5" t="s">
        <v>24</v>
      </c>
      <c r="N14" s="6" t="s">
        <v>77</v>
      </c>
    </row>
    <row r="15" customFormat="false" ht="60" hidden="false" customHeight="true" outlineLevel="0" collapsed="false">
      <c r="A15" s="5" t="s">
        <v>78</v>
      </c>
      <c r="B15" s="5" t="s">
        <v>79</v>
      </c>
      <c r="C15" s="6" t="s">
        <v>80</v>
      </c>
      <c r="D15" s="6" t="s">
        <v>81</v>
      </c>
      <c r="E15" s="5" t="s">
        <v>59</v>
      </c>
      <c r="F15" s="5" t="s">
        <v>22</v>
      </c>
      <c r="G15" s="5" t="s">
        <v>38</v>
      </c>
      <c r="H15" s="5" t="n">
        <f aca="false">INDEX(Leyenda!$B$4:$B$6,MATCH(F15,Leyenda!$A$4:$A$6,0))</f>
        <v>2</v>
      </c>
      <c r="I15" s="5" t="n">
        <f aca="false">INDEX(Leyenda!$B$4:$B$6,MATCH(G15,Leyenda!$A$4:$A$6,0))</f>
        <v>1</v>
      </c>
      <c r="J15" s="5" t="n">
        <f aca="false">H15*I15</f>
        <v>2</v>
      </c>
      <c r="K15" s="5" t="str">
        <f aca="false">IF(J15&gt;=6,"Alto",IF(J15&gt;=3,"Medio","Bajo"))</f>
        <v>Bajo</v>
      </c>
      <c r="L15" s="6" t="s">
        <v>82</v>
      </c>
      <c r="M15" s="5" t="s">
        <v>24</v>
      </c>
      <c r="N15" s="6" t="s">
        <v>83</v>
      </c>
    </row>
    <row r="16" customFormat="false" ht="60" hidden="false" customHeight="true" outlineLevel="0" collapsed="false">
      <c r="A16" s="5" t="s">
        <v>84</v>
      </c>
      <c r="B16" s="5" t="s">
        <v>79</v>
      </c>
      <c r="C16" s="6" t="s">
        <v>85</v>
      </c>
      <c r="D16" s="6" t="s">
        <v>86</v>
      </c>
      <c r="E16" s="5" t="s">
        <v>79</v>
      </c>
      <c r="F16" s="5" t="s">
        <v>22</v>
      </c>
      <c r="G16" s="5" t="s">
        <v>38</v>
      </c>
      <c r="H16" s="5" t="n">
        <f aca="false">INDEX(Leyenda!$B$4:$B$6,MATCH(F16,Leyenda!$A$4:$A$6,0))</f>
        <v>2</v>
      </c>
      <c r="I16" s="5" t="n">
        <f aca="false">INDEX(Leyenda!$B$4:$B$6,MATCH(G16,Leyenda!$A$4:$A$6,0))</f>
        <v>1</v>
      </c>
      <c r="J16" s="5" t="n">
        <f aca="false">H16*I16</f>
        <v>2</v>
      </c>
      <c r="K16" s="5" t="str">
        <f aca="false">IF(J16&gt;=6,"Alto",IF(J16&gt;=3,"Medio","Bajo"))</f>
        <v>Bajo</v>
      </c>
      <c r="L16" s="6" t="s">
        <v>87</v>
      </c>
      <c r="M16" s="5" t="s">
        <v>24</v>
      </c>
      <c r="N16" s="6" t="s">
        <v>88</v>
      </c>
    </row>
  </sheetData>
  <mergeCells count="3">
    <mergeCell ref="A1:N1"/>
    <mergeCell ref="A2:N2"/>
    <mergeCell ref="A3:N3"/>
  </mergeCells>
  <dataValidations count="2">
    <dataValidation allowBlank="false" errorStyle="stop" operator="between" showDropDown="false" showErrorMessage="false" showInputMessage="false" sqref="F6:G16" type="list">
      <formula1>"Alta,Media,Baja"</formula1>
      <formula2>0</formula2>
    </dataValidation>
    <dataValidation allowBlank="false" errorStyle="stop" operator="between" showDropDown="false" showErrorMessage="false" showInputMessage="false" sqref="M6:M16" type="list">
      <formula1>"Abierto,En seguimiento,Cerrado"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" t="s">
        <v>89</v>
      </c>
      <c r="B1" s="2"/>
      <c r="C1" s="2"/>
    </row>
    <row r="3" customFormat="false" ht="15" hidden="false" customHeight="true" outlineLevel="0" collapsed="false">
      <c r="A3" s="7" t="s">
        <v>90</v>
      </c>
      <c r="B3" s="7" t="s">
        <v>91</v>
      </c>
    </row>
    <row r="4" customFormat="false" ht="15" hidden="false" customHeight="true" outlineLevel="0" collapsed="false">
      <c r="A4" s="8" t="s">
        <v>46</v>
      </c>
      <c r="B4" s="8" t="n">
        <v>3</v>
      </c>
    </row>
    <row r="5" customFormat="false" ht="15" hidden="false" customHeight="true" outlineLevel="0" collapsed="false">
      <c r="A5" s="8" t="s">
        <v>22</v>
      </c>
      <c r="B5" s="8" t="n">
        <v>2</v>
      </c>
    </row>
    <row r="6" customFormat="false" ht="15" hidden="false" customHeight="true" outlineLevel="0" collapsed="false">
      <c r="A6" s="8" t="s">
        <v>38</v>
      </c>
      <c r="B6" s="8" t="n">
        <v>1</v>
      </c>
    </row>
    <row r="8" customFormat="false" ht="15" hidden="false" customHeight="true" outlineLevel="0" collapsed="false">
      <c r="A8" s="9" t="s">
        <v>92</v>
      </c>
    </row>
    <row r="9" customFormat="false" ht="15" hidden="false" customHeight="true" outlineLevel="0" collapsed="false">
      <c r="A9" s="8" t="s">
        <v>93</v>
      </c>
    </row>
    <row r="10" customFormat="false" ht="15" hidden="false" customHeight="true" outlineLevel="0" collapsed="false">
      <c r="A10" s="8" t="s">
        <v>94</v>
      </c>
    </row>
    <row r="11" customFormat="false" ht="15" hidden="false" customHeight="true" outlineLevel="0" collapsed="false">
      <c r="A11" s="8" t="s">
        <v>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2026-09-13T01:45:48Z</dcterms:created>
  <dc:creator>openpyxl</dc:creator>
  <dc:description/>
  <dc:language>en-US</dc:language>
  <cp:lastModifiedBy/>
  <dcterms:modified xsi:type="dcterms:W3CDTF">2026-09-16T01:04:42Z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