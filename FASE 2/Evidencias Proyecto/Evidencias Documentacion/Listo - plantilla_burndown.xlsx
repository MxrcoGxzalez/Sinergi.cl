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00" windowHeight="7755" tabRatio="600" firstSheet="0" activeTab="0" autoFilterDateGrouping="1"/>
  </bookViews>
  <sheets>
    <sheet xmlns:r="http://schemas.openxmlformats.org/officeDocument/2006/relationships" name="Sprint 1 - Sinergi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2" pivotButton="0" quotePrefix="0" xfId="0"/>
    <xf numFmtId="0" fontId="0" fillId="2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BurnDown Trabajo Pendiente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2000" b="0" i="0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r>
            <a:t>None</a:t>
          </a:r>
          <a:endParaRPr lang="es-CL"/>
        </a:p>
      </txPr>
    </title>
    <plotArea>
      <layout/>
      <lineChart>
        <grouping val="standard"/>
        <varyColors val="0"/>
        <ser>
          <idx val="0"/>
          <order val="0"/>
          <tx>
            <strRef>
              <f>Ejemplo1!$A$12</f>
              <strCache>
                <ptCount val="1"/>
                <pt idx="0">
                  <v>Reales de producto por realizar</v>
                </pt>
              </strCache>
            </strRef>
          </tx>
          <spPr>
            <a:ln xmlns:a="http://schemas.openxmlformats.org/drawingml/2006/main"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Ejemplo1!$C$4:$V$4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cat>
          <val>
            <numRef>
              <f>Ejemplo1!$B$12:$V$12</f>
              <numCache>
                <formatCode>General</formatCode>
                <ptCount val="21"/>
                <pt idx="0">
                  <v>106</v>
                </pt>
                <pt idx="1">
                  <v>98</v>
                </pt>
                <pt idx="2">
                  <v>92</v>
                </pt>
                <pt idx="3">
                  <v>82</v>
                </pt>
                <pt idx="4">
                  <v>73</v>
                </pt>
                <pt idx="5">
                  <v>65</v>
                </pt>
                <pt idx="6">
                  <v>60</v>
                </pt>
                <pt idx="7">
                  <v>55</v>
                </pt>
                <pt idx="8">
                  <v>52</v>
                </pt>
                <pt idx="9">
                  <v>48</v>
                </pt>
                <pt idx="10">
                  <v>45</v>
                </pt>
                <pt idx="11">
                  <v>45</v>
                </pt>
                <pt idx="12">
                  <v>41</v>
                </pt>
                <pt idx="13">
                  <v>39</v>
                </pt>
                <pt idx="14">
                  <v>35</v>
                </pt>
                <pt idx="15">
                  <v>35</v>
                </pt>
                <pt idx="16">
                  <v>35</v>
                </pt>
                <pt idx="17">
                  <v>27</v>
                </pt>
                <pt idx="18">
                  <v>18</v>
                </pt>
                <pt idx="19">
                  <v>6</v>
                </pt>
                <pt idx="20">
                  <v>0</v>
                </pt>
              </numCache>
            </numRef>
          </val>
          <smooth val="0"/>
        </ser>
        <ser>
          <idx val="1"/>
          <order val="1"/>
          <tx>
            <strRef>
              <f>Ejemplo1!$A$14</f>
              <strCache>
                <ptCount val="1"/>
                <pt idx="0">
                  <v>Estimadas de producto por realizar</v>
                </pt>
              </strCache>
            </strRef>
          </tx>
          <spPr>
            <a:ln xmlns:a="http://schemas.openxmlformats.org/drawingml/2006/main"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Ejemplo1!$C$4:$V$4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cat>
          <val>
            <numRef>
              <f>Ejemplo1!$B$14:$V$14</f>
              <numCache>
                <formatCode>General</formatCode>
                <ptCount val="21"/>
                <pt idx="0">
                  <v>106</v>
                </pt>
                <pt idx="1">
                  <v>100.7</v>
                </pt>
                <pt idx="2">
                  <v>95.40000000000001</v>
                </pt>
                <pt idx="3">
                  <v>90.10000000000001</v>
                </pt>
                <pt idx="4">
                  <v>84.80000000000001</v>
                </pt>
                <pt idx="5">
                  <v>79.50000000000001</v>
                </pt>
                <pt idx="6">
                  <v>74.20000000000002</v>
                </pt>
                <pt idx="7">
                  <v>68.90000000000002</v>
                </pt>
                <pt idx="8">
                  <v>63.60000000000002</v>
                </pt>
                <pt idx="9">
                  <v>58.30000000000003</v>
                </pt>
                <pt idx="10">
                  <v>53.00000000000003</v>
                </pt>
                <pt idx="11">
                  <v>47.70000000000003</v>
                </pt>
                <pt idx="12">
                  <v>42.40000000000003</v>
                </pt>
                <pt idx="13">
                  <v>37.10000000000004</v>
                </pt>
                <pt idx="14">
                  <v>31.80000000000004</v>
                </pt>
                <pt idx="15">
                  <v>26.50000000000004</v>
                </pt>
                <pt idx="16">
                  <v>21.20000000000003</v>
                </pt>
                <pt idx="17">
                  <v>15.90000000000003</v>
                </pt>
                <pt idx="18">
                  <v>10.60000000000003</v>
                </pt>
                <pt idx="19">
                  <v>5.300000000000034</v>
                </pt>
                <pt idx="20">
                  <v>3.375077994860476e-14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41559392"/>
        <axId val="341559784"/>
      </lineChart>
      <catAx>
        <axId val="34155939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s-CL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341559784"/>
        <crosses val="autoZero"/>
        <auto val="1"/>
        <lblAlgn val="ctr"/>
        <lblOffset val="100"/>
        <noMultiLvlLbl val="0"/>
      </catAx>
      <valAx>
        <axId val="3415597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s-CL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341559392"/>
        <crosses val="autoZero"/>
        <crossBetween val="between"/>
      </valAx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23</col>
      <colOff>161925</colOff>
      <row>1</row>
      <rowOff>147637</rowOff>
    </from>
    <to>
      <col>28</col>
      <colOff>114300</colOff>
      <row>18</row>
      <rowOff>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tabSelected="1" workbookViewId="0">
      <selection activeCell="M15" sqref="M15"/>
    </sheetView>
  </sheetViews>
  <sheetFormatPr baseColWidth="10" defaultRowHeight="15"/>
  <cols>
    <col width="38" customWidth="1" style="4" min="1" max="1"/>
    <col width="17" customWidth="1" style="4" min="2" max="2"/>
    <col width="4" customWidth="1" style="4" min="3" max="3"/>
    <col width="3.42578125" customWidth="1" style="4" min="4" max="22"/>
  </cols>
  <sheetData>
    <row r="1" ht="21" customHeight="1" s="4">
      <c r="A1" s="6" t="inlineStr">
        <is>
          <t>Control del Sprint</t>
        </is>
      </c>
      <c r="B1" t="inlineStr">
        <is>
          <t>Sprint 1 - Autenticación y Roles (Sinergi)</t>
        </is>
      </c>
    </row>
    <row r="3">
      <c r="A3" s="20" t="inlineStr">
        <is>
          <t>Historias de Usuario o Spike</t>
        </is>
      </c>
      <c r="B3" s="20" t="inlineStr">
        <is>
          <t>horas estimadas</t>
        </is>
      </c>
      <c r="C3" s="20" t="inlineStr">
        <is>
          <t>DIA</t>
        </is>
      </c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4" t="n"/>
      <c r="W3" s="21" t="inlineStr">
        <is>
          <t>Total</t>
        </is>
      </c>
    </row>
    <row r="4">
      <c r="A4" s="19" t="n"/>
      <c r="B4" s="19" t="n"/>
      <c r="C4" s="12" t="n">
        <v>1</v>
      </c>
      <c r="D4" s="12" t="n">
        <v>2</v>
      </c>
      <c r="E4" s="12" t="n">
        <v>3</v>
      </c>
      <c r="F4" s="12" t="n">
        <v>4</v>
      </c>
      <c r="G4" s="12" t="n">
        <v>5</v>
      </c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8" t="n"/>
    </row>
    <row r="5">
      <c r="A5" s="8" t="inlineStr">
        <is>
          <t>SNG-EP02-01 - Login de cliente</t>
        </is>
      </c>
      <c r="B5" s="9" t="n">
        <v>16</v>
      </c>
      <c r="C5" s="13" t="n">
        <v>4</v>
      </c>
      <c r="D5" s="14" t="n">
        <v>7</v>
      </c>
      <c r="E5" s="14" t="n">
        <v>5</v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2">
        <f>SUM(C5:V5)</f>
        <v/>
      </c>
    </row>
    <row r="6">
      <c r="A6" s="1" t="inlineStr">
        <is>
          <t>SNG-EP03-05 - Gestión de usuarios (admin)</t>
        </is>
      </c>
      <c r="B6" s="10" t="n">
        <v>14</v>
      </c>
      <c r="C6" s="15" t="n">
        <v>4</v>
      </c>
      <c r="E6" t="n">
        <v>6</v>
      </c>
      <c r="F6" t="n">
        <v>2</v>
      </c>
      <c r="G6" t="n">
        <v>2</v>
      </c>
      <c r="W6" s="18">
        <f>SUM(C6:V6)</f>
        <v/>
      </c>
    </row>
    <row r="7">
      <c r="A7" s="2" t="inlineStr">
        <is>
          <t>SNG-EP05-01 - Bloqueo por intentos fallidos</t>
        </is>
      </c>
      <c r="B7" s="11" t="n">
        <v>9</v>
      </c>
      <c r="C7" s="15" t="n"/>
      <c r="F7" t="n">
        <v>5</v>
      </c>
      <c r="G7" t="n">
        <v>4</v>
      </c>
      <c r="W7" s="18">
        <f>SUM(C7:V7)</f>
        <v/>
      </c>
    </row>
    <row r="8">
      <c r="A8" s="1" t="n"/>
      <c r="B8" s="10" t="n"/>
      <c r="C8" s="15" t="n"/>
      <c r="W8" s="18">
        <f>SUM(C8:V8)</f>
        <v/>
      </c>
    </row>
    <row r="9">
      <c r="A9" s="1" t="n"/>
      <c r="B9" s="10" t="n"/>
      <c r="C9" s="15" t="n"/>
      <c r="W9" s="18">
        <f>SUM(C9:V9)</f>
        <v/>
      </c>
    </row>
    <row r="10">
      <c r="A10" s="1" t="n"/>
      <c r="B10" s="10" t="n"/>
      <c r="C10" s="16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9">
        <f>SUM(C10:V10)</f>
        <v/>
      </c>
    </row>
    <row r="12" ht="30" customHeight="1" s="4">
      <c r="A12" s="7" t="inlineStr">
        <is>
          <t>Reales de producto por realizar</t>
        </is>
      </c>
      <c r="B12">
        <f>SUM(B5:B7)</f>
        <v/>
      </c>
      <c r="C12">
        <f>B12-SUM(C5:C7)</f>
        <v/>
      </c>
      <c r="D12">
        <f>C12-SUM(D5:D7)</f>
        <v/>
      </c>
      <c r="E12">
        <f>D12-SUM(E5:E7)</f>
        <v/>
      </c>
      <c r="F12">
        <f>E12-SUM(F5:F7)</f>
        <v/>
      </c>
      <c r="G12">
        <f>F12-SUM(G5:G7)</f>
        <v/>
      </c>
    </row>
    <row r="14" ht="30" customHeight="1" s="4">
      <c r="A14" s="7" t="inlineStr">
        <is>
          <t>Estimadas de producto por realizar</t>
        </is>
      </c>
      <c r="B14">
        <f>SUM(B5:B7)</f>
        <v/>
      </c>
      <c r="C14">
        <f>B14-(SUM($B$5:$B$7)/5)</f>
        <v/>
      </c>
      <c r="D14">
        <f>C14-(SUM($B$5:$B$7)/5)</f>
        <v/>
      </c>
      <c r="E14">
        <f>D14-(SUM($B$5:$B$7)/5)</f>
        <v/>
      </c>
      <c r="F14">
        <f>E14-(SUM($B$5:$B$7)/5)</f>
        <v/>
      </c>
      <c r="G14">
        <f>F14-(SUM($B$5:$B$7)/5)</f>
        <v/>
      </c>
    </row>
    <row r="16">
      <c r="B16" s="5" t="n"/>
    </row>
    <row r="17">
      <c r="B17" s="5" t="n"/>
      <c r="G17" s="5" t="n"/>
    </row>
    <row r="18">
      <c r="B18" s="5" t="n"/>
      <c r="G18" s="5" t="n"/>
    </row>
    <row r="19">
      <c r="B19" s="5" t="n"/>
      <c r="G19" s="5" t="n"/>
    </row>
    <row r="20">
      <c r="B20" s="5" t="n"/>
      <c r="G20" s="5" t="n"/>
    </row>
    <row r="21">
      <c r="B21" s="5" t="n"/>
      <c r="G21" s="5" t="n"/>
    </row>
    <row r="22">
      <c r="B22" s="5" t="n"/>
      <c r="G22" s="5" t="n"/>
    </row>
    <row r="23">
      <c r="B23" s="5" t="n"/>
    </row>
    <row r="24">
      <c r="B24" s="5" t="n"/>
    </row>
    <row r="25">
      <c r="B25" s="5" t="n"/>
    </row>
  </sheetData>
  <mergeCells count="4">
    <mergeCell ref="B3:B4"/>
    <mergeCell ref="C3:V3"/>
    <mergeCell ref="A3:A4"/>
    <mergeCell ref="W3:W4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Rodrigo Galaz Silva</dc:creator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2026-09-14T23:12:06Z</dcterms:modified>
  <cp:lastModifiedBy>Victor Rodrigo Galaz Silva</cp:lastModifiedBy>
</cp:coreProperties>
</file>